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20" yWindow="90" windowWidth="19035" windowHeight="8445"/>
  </bookViews>
  <sheets>
    <sheet name="SITESYNC_COMMISSIONING" sheetId="1" r:id="rId1"/>
    <sheet name="START" sheetId="2" state="veryHidden" r:id="rId2"/>
  </sheets>
  <definedNames>
    <definedName name="Original_Order">SITESYNC_COMMISSIONING!$L$1:$L$3</definedName>
    <definedName name="_xlnm.Print_Area" localSheetId="0">SITESYNC_COMMISSIONING!$A$1:$U$159</definedName>
    <definedName name="time_formats">SITESYNC_COMMISSIONING!#REF!</definedName>
  </definedNames>
  <calcPr calcId="125725" refMode="R1C1"/>
</workbook>
</file>

<file path=xl/calcChain.xml><?xml version="1.0" encoding="utf-8"?>
<calcChain xmlns="http://schemas.openxmlformats.org/spreadsheetml/2006/main">
  <c r="L38" i="1"/>
  <c r="O25"/>
  <c r="N35"/>
  <c r="N34"/>
  <c r="N33"/>
  <c r="N31"/>
  <c r="N30"/>
  <c r="N29"/>
  <c r="N26"/>
  <c r="N25"/>
  <c r="N24"/>
  <c r="H23" l="1"/>
  <c r="W62" l="1"/>
  <c r="W61"/>
  <c r="W60"/>
  <c r="W59"/>
  <c r="W58"/>
  <c r="W57"/>
  <c r="W56"/>
  <c r="W55"/>
  <c r="W54"/>
  <c r="W53"/>
  <c r="W52"/>
  <c r="W51"/>
  <c r="W50"/>
  <c r="W49"/>
  <c r="W48"/>
  <c r="W47"/>
  <c r="W46"/>
  <c r="W45"/>
  <c r="W44"/>
  <c r="W43"/>
  <c r="W42"/>
  <c r="X62"/>
  <c r="X61"/>
  <c r="X60"/>
  <c r="X59"/>
  <c r="X58"/>
  <c r="X57"/>
  <c r="X56"/>
  <c r="X55"/>
  <c r="X54"/>
  <c r="X53"/>
  <c r="X52"/>
  <c r="X51"/>
  <c r="X50"/>
  <c r="X49"/>
  <c r="X48"/>
  <c r="X47"/>
  <c r="X46"/>
  <c r="X45"/>
  <c r="X44"/>
  <c r="X43"/>
  <c r="X42"/>
  <c r="W14" l="1"/>
  <c r="A14" s="1"/>
  <c r="R92"/>
  <c r="N92"/>
  <c r="J92"/>
  <c r="F92"/>
  <c r="B92"/>
  <c r="U62"/>
  <c r="U61"/>
  <c r="U60"/>
  <c r="U59"/>
  <c r="U58"/>
  <c r="U57"/>
  <c r="U56"/>
  <c r="U55"/>
  <c r="U54"/>
  <c r="U53"/>
  <c r="U52"/>
  <c r="U51"/>
  <c r="U50"/>
  <c r="U49"/>
  <c r="U48"/>
  <c r="U47"/>
  <c r="U46"/>
  <c r="U45"/>
  <c r="U44"/>
  <c r="U43"/>
  <c r="U42"/>
  <c r="R104"/>
  <c r="R103"/>
  <c r="R102"/>
  <c r="R101"/>
  <c r="R100"/>
  <c r="R99"/>
  <c r="R98"/>
  <c r="R97"/>
  <c r="N104"/>
  <c r="N103"/>
  <c r="N102"/>
  <c r="N101"/>
  <c r="N100"/>
  <c r="N99"/>
  <c r="N98"/>
  <c r="N108" s="1"/>
  <c r="N97"/>
  <c r="J104"/>
  <c r="J103"/>
  <c r="J102"/>
  <c r="J101"/>
  <c r="J106" s="1"/>
  <c r="J100"/>
  <c r="J99"/>
  <c r="J98"/>
  <c r="J97"/>
  <c r="F104"/>
  <c r="F103"/>
  <c r="F102"/>
  <c r="F101"/>
  <c r="F100"/>
  <c r="F99"/>
  <c r="F98"/>
  <c r="F97"/>
  <c r="B104"/>
  <c r="B103"/>
  <c r="B102"/>
  <c r="B101"/>
  <c r="B100"/>
  <c r="B99"/>
  <c r="B98"/>
  <c r="B97"/>
  <c r="A63"/>
  <c r="J109" l="1"/>
  <c r="F109"/>
  <c r="F105"/>
  <c r="F108"/>
  <c r="F112"/>
  <c r="J108"/>
  <c r="J112"/>
  <c r="F107"/>
  <c r="F111"/>
  <c r="J107"/>
  <c r="J111"/>
  <c r="R107"/>
  <c r="N106"/>
  <c r="N105"/>
  <c r="N112"/>
  <c r="N107"/>
  <c r="N111"/>
  <c r="R109"/>
  <c r="R106"/>
  <c r="R108"/>
  <c r="R112"/>
  <c r="R105"/>
  <c r="F106"/>
  <c r="R111"/>
  <c r="N109"/>
  <c r="N110"/>
  <c r="J110"/>
  <c r="J105"/>
  <c r="F110"/>
  <c r="B105"/>
  <c r="B111"/>
  <c r="B107"/>
  <c r="B106"/>
  <c r="B112"/>
  <c r="B108"/>
  <c r="B109"/>
  <c r="B110"/>
  <c r="R110"/>
  <c r="V58"/>
  <c r="V57"/>
  <c r="V55"/>
  <c r="V54"/>
  <c r="V53"/>
  <c r="V52"/>
  <c r="V51"/>
  <c r="V50"/>
  <c r="V49"/>
  <c r="V48"/>
  <c r="V47"/>
  <c r="V46"/>
  <c r="V45"/>
  <c r="V44"/>
  <c r="V43"/>
  <c r="V62"/>
  <c r="V61"/>
  <c r="V42"/>
  <c r="S87"/>
  <c r="S86"/>
  <c r="S85"/>
  <c r="S84"/>
  <c r="S83"/>
  <c r="S82"/>
  <c r="S81"/>
  <c r="S80"/>
  <c r="O87"/>
  <c r="O86"/>
  <c r="O85"/>
  <c r="O84"/>
  <c r="O83"/>
  <c r="O82"/>
  <c r="O81"/>
  <c r="O80"/>
  <c r="K87"/>
  <c r="K86"/>
  <c r="K85"/>
  <c r="K84"/>
  <c r="K83"/>
  <c r="K82"/>
  <c r="K81"/>
  <c r="K80"/>
  <c r="G87"/>
  <c r="G86"/>
  <c r="G85"/>
  <c r="G84"/>
  <c r="G83"/>
  <c r="G82"/>
  <c r="G81"/>
  <c r="G80"/>
  <c r="C87"/>
  <c r="C86"/>
  <c r="C85"/>
  <c r="C84"/>
  <c r="C83"/>
  <c r="C82"/>
  <c r="C81"/>
  <c r="C80"/>
  <c r="O27"/>
  <c r="T96"/>
  <c r="P96"/>
  <c r="L96"/>
  <c r="H96"/>
  <c r="D96"/>
  <c r="N18"/>
  <c r="R87"/>
  <c r="N87"/>
  <c r="J87"/>
  <c r="F87"/>
  <c r="R86"/>
  <c r="N86"/>
  <c r="P86" s="1"/>
  <c r="J86"/>
  <c r="F86"/>
  <c r="R85"/>
  <c r="T85" s="1"/>
  <c r="N85"/>
  <c r="J85"/>
  <c r="F85"/>
  <c r="R84"/>
  <c r="N84"/>
  <c r="J84"/>
  <c r="F84"/>
  <c r="R83"/>
  <c r="N83"/>
  <c r="J83"/>
  <c r="F83"/>
  <c r="R82"/>
  <c r="N82"/>
  <c r="J82"/>
  <c r="F82"/>
  <c r="R81"/>
  <c r="N81"/>
  <c r="J81"/>
  <c r="F81"/>
  <c r="H81" s="1"/>
  <c r="R80"/>
  <c r="N80"/>
  <c r="J80"/>
  <c r="F80"/>
  <c r="B87"/>
  <c r="B86"/>
  <c r="B85"/>
  <c r="B84"/>
  <c r="B83"/>
  <c r="B82"/>
  <c r="B81"/>
  <c r="B80"/>
  <c r="V60"/>
  <c r="V59"/>
  <c r="V56"/>
  <c r="N20"/>
  <c r="N19"/>
  <c r="N17"/>
  <c r="N16"/>
  <c r="H87" l="1"/>
  <c r="D85"/>
  <c r="J38"/>
  <c r="C97"/>
  <c r="G100"/>
  <c r="O100"/>
  <c r="K100"/>
  <c r="T81"/>
  <c r="S99"/>
  <c r="K98"/>
  <c r="G99"/>
  <c r="G98"/>
  <c r="G97"/>
  <c r="H97" s="1"/>
  <c r="T82"/>
  <c r="T86"/>
  <c r="D87"/>
  <c r="T84"/>
  <c r="P85"/>
  <c r="P81"/>
  <c r="L85"/>
  <c r="H84"/>
  <c r="H85"/>
  <c r="S89"/>
  <c r="D84"/>
  <c r="P83"/>
  <c r="L83"/>
  <c r="R89"/>
  <c r="H83"/>
  <c r="T87"/>
  <c r="D83"/>
  <c r="T83"/>
  <c r="P87"/>
  <c r="P84"/>
  <c r="L87"/>
  <c r="D86"/>
  <c r="H82"/>
  <c r="H86"/>
  <c r="F89"/>
  <c r="L84"/>
  <c r="H80"/>
  <c r="G89"/>
  <c r="P80"/>
  <c r="O89"/>
  <c r="P82"/>
  <c r="L82"/>
  <c r="L86"/>
  <c r="D82"/>
  <c r="D80"/>
  <c r="L80"/>
  <c r="K89"/>
  <c r="L81"/>
  <c r="D81"/>
  <c r="T80"/>
  <c r="J89"/>
  <c r="N89"/>
  <c r="C89"/>
  <c r="B89"/>
  <c r="V41"/>
  <c r="G15"/>
  <c r="O16" s="1"/>
  <c r="S100" l="1"/>
  <c r="T100" s="1"/>
  <c r="S101"/>
  <c r="T101" s="1"/>
  <c r="K97"/>
  <c r="L97" s="1"/>
  <c r="O97"/>
  <c r="P97" s="1"/>
  <c r="K99"/>
  <c r="L99" s="1"/>
  <c r="K111"/>
  <c r="L111" s="1"/>
  <c r="C98"/>
  <c r="D98" s="1"/>
  <c r="C100"/>
  <c r="D100" s="1"/>
  <c r="C112"/>
  <c r="D112" s="1"/>
  <c r="C107"/>
  <c r="D107" s="1"/>
  <c r="C109"/>
  <c r="D109" s="1"/>
  <c r="C104"/>
  <c r="D104" s="1"/>
  <c r="C110"/>
  <c r="D110" s="1"/>
  <c r="C106"/>
  <c r="D106" s="1"/>
  <c r="C101"/>
  <c r="D101" s="1"/>
  <c r="C102"/>
  <c r="D102" s="1"/>
  <c r="C108"/>
  <c r="D108" s="1"/>
  <c r="C105"/>
  <c r="D105" s="1"/>
  <c r="C99"/>
  <c r="D99" s="1"/>
  <c r="C103"/>
  <c r="D103" s="1"/>
  <c r="C111"/>
  <c r="D111" s="1"/>
  <c r="S104"/>
  <c r="T104" s="1"/>
  <c r="S97"/>
  <c r="T97" s="1"/>
  <c r="S98"/>
  <c r="T98" s="1"/>
  <c r="G112"/>
  <c r="H112" s="1"/>
  <c r="G103"/>
  <c r="H103" s="1"/>
  <c r="G107"/>
  <c r="H107" s="1"/>
  <c r="G111"/>
  <c r="H111" s="1"/>
  <c r="G101"/>
  <c r="H101" s="1"/>
  <c r="G105"/>
  <c r="H105" s="1"/>
  <c r="G109"/>
  <c r="H109" s="1"/>
  <c r="G102"/>
  <c r="H102" s="1"/>
  <c r="G106"/>
  <c r="H106" s="1"/>
  <c r="G110"/>
  <c r="H110" s="1"/>
  <c r="G104"/>
  <c r="H104" s="1"/>
  <c r="G108"/>
  <c r="H108" s="1"/>
  <c r="O98"/>
  <c r="P98" s="1"/>
  <c r="O108"/>
  <c r="P108" s="1"/>
  <c r="O104"/>
  <c r="P104" s="1"/>
  <c r="O112"/>
  <c r="P112" s="1"/>
  <c r="O99"/>
  <c r="P99" s="1"/>
  <c r="O109"/>
  <c r="P109" s="1"/>
  <c r="O102"/>
  <c r="P102" s="1"/>
  <c r="O110"/>
  <c r="P110" s="1"/>
  <c r="O103"/>
  <c r="P103" s="1"/>
  <c r="O107"/>
  <c r="P107" s="1"/>
  <c r="O111"/>
  <c r="P111" s="1"/>
  <c r="O106"/>
  <c r="P106" s="1"/>
  <c r="O101"/>
  <c r="P101" s="1"/>
  <c r="O105"/>
  <c r="P105" s="1"/>
  <c r="K108"/>
  <c r="L108" s="1"/>
  <c r="K102"/>
  <c r="K106"/>
  <c r="L106" s="1"/>
  <c r="K110"/>
  <c r="L110" s="1"/>
  <c r="K101"/>
  <c r="L101" s="1"/>
  <c r="K105"/>
  <c r="L105" s="1"/>
  <c r="K109"/>
  <c r="L109" s="1"/>
  <c r="K104"/>
  <c r="L104" s="1"/>
  <c r="K112"/>
  <c r="L112" s="1"/>
  <c r="K103"/>
  <c r="L103" s="1"/>
  <c r="K107"/>
  <c r="L107" s="1"/>
  <c r="S109"/>
  <c r="T109" s="1"/>
  <c r="S103"/>
  <c r="T103" s="1"/>
  <c r="S102"/>
  <c r="T102" s="1"/>
  <c r="S112"/>
  <c r="T112" s="1"/>
  <c r="S107"/>
  <c r="T107" s="1"/>
  <c r="S111"/>
  <c r="T111" s="1"/>
  <c r="S108"/>
  <c r="T108" s="1"/>
  <c r="S106"/>
  <c r="T106" s="1"/>
  <c r="S110"/>
  <c r="T110" s="1"/>
  <c r="S105"/>
  <c r="T105" s="1"/>
  <c r="H99"/>
  <c r="T99"/>
  <c r="H100"/>
  <c r="L100"/>
  <c r="P100"/>
  <c r="H98"/>
  <c r="L98"/>
  <c r="L102"/>
  <c r="D97"/>
  <c r="H89"/>
  <c r="F90" s="1"/>
  <c r="T89"/>
  <c r="R90" s="1"/>
  <c r="P89"/>
  <c r="N90" s="1"/>
  <c r="D89"/>
  <c r="B90" s="1"/>
  <c r="L89"/>
  <c r="J90" s="1"/>
  <c r="M98" l="1"/>
  <c r="M99" s="1"/>
  <c r="M100" s="1"/>
  <c r="M101" s="1"/>
  <c r="M102" s="1"/>
  <c r="M103" s="1"/>
  <c r="M104" s="1"/>
  <c r="M105" s="1"/>
  <c r="M106" s="1"/>
  <c r="M107" s="1"/>
  <c r="M108" s="1"/>
  <c r="M109" s="1"/>
  <c r="M110" s="1"/>
  <c r="M111" s="1"/>
  <c r="M112" s="1"/>
  <c r="M96" s="1"/>
  <c r="M97" s="1"/>
  <c r="B67"/>
  <c r="F67"/>
  <c r="I98"/>
  <c r="I99" s="1"/>
  <c r="I100" s="1"/>
  <c r="I101" s="1"/>
  <c r="I102" s="1"/>
  <c r="I103" s="1"/>
  <c r="I104" s="1"/>
  <c r="I105" s="1"/>
  <c r="I106" s="1"/>
  <c r="I107" s="1"/>
  <c r="I108" s="1"/>
  <c r="I109" s="1"/>
  <c r="I110" s="1"/>
  <c r="I111" s="1"/>
  <c r="I112" s="1"/>
  <c r="I96" s="1"/>
  <c r="I97" s="1"/>
  <c r="Q98"/>
  <c r="Q99" s="1"/>
  <c r="Q100" s="1"/>
  <c r="Q101" s="1"/>
  <c r="Q102" s="1"/>
  <c r="Q103" s="1"/>
  <c r="Q104" s="1"/>
  <c r="Q105" s="1"/>
  <c r="Q106" s="1"/>
  <c r="Q107" s="1"/>
  <c r="Q108" s="1"/>
  <c r="Q109" s="1"/>
  <c r="Q110" s="1"/>
  <c r="Q111" s="1"/>
  <c r="Q112" s="1"/>
  <c r="Q96" s="1"/>
  <c r="Q97" s="1"/>
  <c r="N67"/>
  <c r="F93"/>
  <c r="F94" s="1"/>
  <c r="N93"/>
  <c r="N94" s="1"/>
  <c r="J93" l="1"/>
  <c r="J94" s="1"/>
  <c r="J67"/>
  <c r="E98"/>
  <c r="E99" s="1"/>
  <c r="E100" s="1"/>
  <c r="E101" s="1"/>
  <c r="E102" s="1"/>
  <c r="E103" s="1"/>
  <c r="E104" s="1"/>
  <c r="E105" s="1"/>
  <c r="E106" s="1"/>
  <c r="E107" s="1"/>
  <c r="E108" s="1"/>
  <c r="E109" s="1"/>
  <c r="E110" s="1"/>
  <c r="E111" s="1"/>
  <c r="E112" s="1"/>
  <c r="E96" s="1"/>
  <c r="B93"/>
  <c r="U98"/>
  <c r="U99" s="1"/>
  <c r="U100" s="1"/>
  <c r="U101" s="1"/>
  <c r="U102" s="1"/>
  <c r="U103" s="1"/>
  <c r="U104" s="1"/>
  <c r="U105" s="1"/>
  <c r="U106" s="1"/>
  <c r="U107" s="1"/>
  <c r="U108" s="1"/>
  <c r="U109" s="1"/>
  <c r="U110" s="1"/>
  <c r="U111" s="1"/>
  <c r="U112" s="1"/>
  <c r="U96" s="1"/>
  <c r="U97" s="1"/>
  <c r="R93"/>
  <c r="R94" s="1"/>
  <c r="R67"/>
  <c r="U90"/>
  <c r="B94" l="1"/>
  <c r="U94" s="1"/>
  <c r="U93"/>
  <c r="L65" l="1"/>
  <c r="A13" l="1"/>
  <c r="O17"/>
  <c r="E97"/>
</calcChain>
</file>

<file path=xl/sharedStrings.xml><?xml version="1.0" encoding="utf-8"?>
<sst xmlns="http://schemas.openxmlformats.org/spreadsheetml/2006/main" count="305" uniqueCount="109">
  <si>
    <t>Job Name:</t>
  </si>
  <si>
    <t>% Bright</t>
  </si>
  <si>
    <t>AM</t>
  </si>
  <si>
    <t>PM</t>
  </si>
  <si>
    <t>24 hour</t>
  </si>
  <si>
    <t>From Sunrise</t>
  </si>
  <si>
    <t>From Sunset</t>
  </si>
  <si>
    <t>No Entry</t>
  </si>
  <si>
    <t>Catalog #</t>
  </si>
  <si>
    <t>No</t>
  </si>
  <si>
    <t>Event #</t>
  </si>
  <si>
    <t>Sales Order #:</t>
  </si>
  <si>
    <t>#1</t>
  </si>
  <si>
    <t>#2</t>
  </si>
  <si>
    <t>#3</t>
  </si>
  <si>
    <t>#4</t>
  </si>
  <si>
    <t>#5</t>
  </si>
  <si>
    <t>#6</t>
  </si>
  <si>
    <t>#7</t>
  </si>
  <si>
    <t>#8</t>
  </si>
  <si>
    <t>#9</t>
  </si>
  <si>
    <t>#10</t>
  </si>
  <si>
    <t>Qty</t>
  </si>
  <si>
    <t>(mins.)</t>
  </si>
  <si>
    <t>Master</t>
  </si>
  <si>
    <t xml:space="preserve">Motion </t>
  </si>
  <si>
    <t>#11</t>
  </si>
  <si>
    <t>#12</t>
  </si>
  <si>
    <t>#14</t>
  </si>
  <si>
    <t>#15</t>
  </si>
  <si>
    <t>#16</t>
  </si>
  <si>
    <t>Delay</t>
  </si>
  <si>
    <t>Time</t>
  </si>
  <si>
    <t>Time Format</t>
  </si>
  <si>
    <t xml:space="preserve">JOB INFORMATION </t>
  </si>
  <si>
    <t>Customer PO #:</t>
  </si>
  <si>
    <t>Job site city &amp; state:</t>
  </si>
  <si>
    <t>Job site ZIP code:</t>
  </si>
  <si>
    <t>Type of Order:</t>
  </si>
  <si>
    <t>Commissioning:</t>
  </si>
  <si>
    <t>Deliver to:</t>
  </si>
  <si>
    <t>Name:</t>
  </si>
  <si>
    <t>Organization:</t>
  </si>
  <si>
    <t>e-mail:</t>
  </si>
  <si>
    <t xml:space="preserve">Original Order </t>
  </si>
  <si>
    <t>Repeat Order</t>
  </si>
  <si>
    <t>Factory commission per this worksheet.</t>
  </si>
  <si>
    <t>I will generate and return a BC file for factory commissioning.</t>
  </si>
  <si>
    <t>USB flash drive</t>
  </si>
  <si>
    <t>Address:</t>
  </si>
  <si>
    <t>City/State/ZIP</t>
  </si>
  <si>
    <t>#13</t>
  </si>
  <si>
    <t>Phone:</t>
  </si>
  <si>
    <t>Ship pre-loaded tablet PC</t>
  </si>
  <si>
    <t>To be programmed in the field.  Ship the fixtures "neutral" (100% power)</t>
  </si>
  <si>
    <t>Status</t>
  </si>
  <si>
    <t xml:space="preserve">For each set of fixtures with common catalog number and settings, fill out one row.  </t>
  </si>
  <si>
    <t>No Entry Test</t>
  </si>
  <si>
    <t>Complete Test</t>
  </si>
  <si>
    <t>Incomplete test</t>
  </si>
  <si>
    <t>Schedule</t>
  </si>
  <si>
    <t>Conclusion</t>
  </si>
  <si>
    <t>#Occurrences</t>
  </si>
  <si>
    <t>Flag to complte</t>
  </si>
  <si>
    <t>Complete up to five schedules for inclusion under fixture types above.</t>
  </si>
  <si>
    <t xml:space="preserve">SOFTWARE &amp; BRIDGE NODE DELIVERY </t>
  </si>
  <si>
    <t>FIXTURE TYPE INFORMATION &amp; SETTINGS</t>
  </si>
  <si>
    <t>SCHEDULE SETTINGS</t>
  </si>
  <si>
    <t>SPECIAL REQUESTS  (Subject to review )</t>
  </si>
  <si>
    <t>Completion</t>
  </si>
  <si>
    <t>Simple Settings</t>
  </si>
  <si>
    <t>Advanced Settings</t>
  </si>
  <si>
    <t>Sorted Time</t>
  </si>
  <si>
    <t>Sorted Bright %</t>
  </si>
  <si>
    <t>TIME/Sorting index</t>
  </si>
  <si>
    <t>Time - minutes coverted to 100 scale</t>
  </si>
  <si>
    <t>`</t>
  </si>
  <si>
    <t>#</t>
  </si>
  <si>
    <t>Group</t>
  </si>
  <si>
    <t>Click this cell and select an option from the drop down box.</t>
  </si>
  <si>
    <t>Weekday N/A count</t>
  </si>
  <si>
    <t>Motion sensor?</t>
  </si>
  <si>
    <t>Total fixtures</t>
  </si>
  <si>
    <t>ATTENTION:</t>
  </si>
  <si>
    <t>If you are seeing this page, you need to ENABLE MACROS in order to view and use the commissioning worksheet.  Excel may provide a notification to enable macros when the worksheet is first opened, or there may be a button on the ribbon above this spreadsheet.</t>
  </si>
  <si>
    <t>BEACONNECT COMMISSIONING WORKSHEET</t>
  </si>
  <si>
    <t>Otherwise, click the round "Office button" in the top left corner, click Excel Options, Trust Center, Trust Center Settings, Macro Settings.  Select "Disable All Macros with Notification" and click OK twice.  Reload the spreadsheet and enable macros when prompted. (Instructions for Office 2007)</t>
  </si>
  <si>
    <t>Schedule #1</t>
  </si>
  <si>
    <t>Schedule #2</t>
  </si>
  <si>
    <t>Schedule #3</t>
  </si>
  <si>
    <t>Schedule #4</t>
  </si>
  <si>
    <t>Schedule #5</t>
  </si>
  <si>
    <t>Same as M-F</t>
  </si>
  <si>
    <t>SATURDAY</t>
  </si>
  <si>
    <t>SUNDAY</t>
  </si>
  <si>
    <t>MON - FRI</t>
  </si>
  <si>
    <t>Select the schedule you want to run on…</t>
  </si>
  <si>
    <t>Type #</t>
  </si>
  <si>
    <t>ACKNOWLEDGEMENT: By submitting this form to Hubbell Lighting, I authorize Hubbell to program the lighting fixtures and deliver software and materials as specified herein.  I understand that a late or revised submission may be denied or may result in additional service charges.</t>
  </si>
  <si>
    <t>By Group</t>
  </si>
  <si>
    <t>By Zone (provide additional information)</t>
  </si>
  <si>
    <t>By Zone</t>
  </si>
  <si>
    <t>By Network</t>
  </si>
  <si>
    <t>Software Delivery (REQUIRED):</t>
  </si>
  <si>
    <t># Extra SWBRG - bridge node (OPTIONAL):</t>
  </si>
  <si>
    <t>Note: Each original order requires at minimum one SWUSB or SWTAB.  All SWUSB, SWTAB, or SWBRG should be included on your purchase order.</t>
  </si>
  <si>
    <t># Extra SWUSB - software license and
                             bridge node (OPTIONAL):</t>
  </si>
  <si>
    <r>
      <t>CUSTOMER PRE-COMMISSIONING SPECIFICATION WORKSHEET</t>
    </r>
    <r>
      <rPr>
        <b/>
        <sz val="12"/>
        <rFont val="Calibri"/>
        <family val="2"/>
        <scheme val="minor"/>
      </rPr>
      <t xml:space="preserve"> REV. D</t>
    </r>
  </si>
  <si>
    <t>See Hubbell Lighting literature for valid fixture options.</t>
  </si>
</sst>
</file>

<file path=xl/styles.xml><?xml version="1.0" encoding="utf-8"?>
<styleSheet xmlns="http://schemas.openxmlformats.org/spreadsheetml/2006/main">
  <fonts count="2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i/>
      <sz val="11"/>
      <color theme="1"/>
      <name val="Calibri"/>
      <family val="2"/>
      <scheme val="minor"/>
    </font>
    <font>
      <b/>
      <sz val="11"/>
      <color rgb="FF0070C0"/>
      <name val="Calibri"/>
      <family val="2"/>
      <scheme val="minor"/>
    </font>
    <font>
      <b/>
      <i/>
      <sz val="10"/>
      <color theme="1"/>
      <name val="Calibri"/>
      <family val="2"/>
      <scheme val="minor"/>
    </font>
    <font>
      <sz val="11"/>
      <color theme="0"/>
      <name val="Calibri"/>
      <family val="2"/>
      <scheme val="minor"/>
    </font>
    <font>
      <b/>
      <sz val="11"/>
      <color theme="4"/>
      <name val="Calibri"/>
      <family val="2"/>
      <scheme val="minor"/>
    </font>
    <font>
      <b/>
      <sz val="14"/>
      <color rgb="FFFF0000"/>
      <name val="Calibri"/>
      <family val="2"/>
      <scheme val="minor"/>
    </font>
    <font>
      <b/>
      <i/>
      <sz val="11"/>
      <color theme="1"/>
      <name val="Calibri"/>
      <family val="2"/>
      <scheme val="minor"/>
    </font>
    <font>
      <b/>
      <sz val="10"/>
      <color theme="1"/>
      <name val="Calibri"/>
      <family val="2"/>
      <scheme val="minor"/>
    </font>
    <font>
      <b/>
      <i/>
      <sz val="12"/>
      <color theme="1"/>
      <name val="Calibri"/>
      <family val="2"/>
      <scheme val="minor"/>
    </font>
    <font>
      <b/>
      <sz val="20"/>
      <color theme="1"/>
      <name val="Calibri"/>
      <family val="2"/>
      <scheme val="minor"/>
    </font>
    <font>
      <b/>
      <sz val="12"/>
      <color theme="0"/>
      <name val="Calibri"/>
      <family val="2"/>
      <scheme val="minor"/>
    </font>
    <font>
      <b/>
      <sz val="14"/>
      <color theme="0"/>
      <name val="Calibri"/>
      <family val="2"/>
      <scheme val="minor"/>
    </font>
    <font>
      <sz val="11"/>
      <color theme="4"/>
      <name val="Calibri"/>
      <family val="2"/>
      <scheme val="minor"/>
    </font>
    <font>
      <sz val="11"/>
      <name val="Calibri"/>
      <family val="2"/>
      <scheme val="minor"/>
    </font>
    <font>
      <b/>
      <sz val="18"/>
      <name val="Calibri"/>
      <family val="2"/>
      <scheme val="minor"/>
    </font>
    <font>
      <b/>
      <sz val="12"/>
      <name val="Calibri"/>
      <family val="2"/>
      <scheme val="minor"/>
    </font>
  </fonts>
  <fills count="4">
    <fill>
      <patternFill patternType="none"/>
    </fill>
    <fill>
      <patternFill patternType="gray125"/>
    </fill>
    <fill>
      <patternFill patternType="solid">
        <fgColor theme="2"/>
        <bgColor indexed="64"/>
      </patternFill>
    </fill>
    <fill>
      <patternFill patternType="solid">
        <fgColor theme="0"/>
        <bgColor indexed="64"/>
      </patternFill>
    </fill>
  </fills>
  <borders count="25">
    <border>
      <left/>
      <right/>
      <top/>
      <bottom/>
      <diagonal/>
    </border>
    <border>
      <left/>
      <right style="medium">
        <color indexed="64"/>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top style="medium">
        <color auto="1"/>
      </top>
      <bottom/>
      <diagonal/>
    </border>
    <border>
      <left style="medium">
        <color auto="1"/>
      </left>
      <right/>
      <top/>
      <bottom/>
      <diagonal/>
    </border>
    <border>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style="medium">
        <color auto="1"/>
      </top>
      <bottom/>
      <diagonal/>
    </border>
    <border>
      <left/>
      <right style="medium">
        <color auto="1"/>
      </right>
      <top/>
      <bottom style="medium">
        <color auto="1"/>
      </bottom>
      <diagonal/>
    </border>
    <border>
      <left style="medium">
        <color auto="1"/>
      </left>
      <right style="medium">
        <color indexed="64"/>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medium">
        <color auto="1"/>
      </right>
      <top style="medium">
        <color auto="1"/>
      </top>
      <bottom/>
      <diagonal/>
    </border>
    <border>
      <left style="thin">
        <color auto="1"/>
      </left>
      <right style="medium">
        <color auto="1"/>
      </right>
      <top/>
      <bottom/>
      <diagonal/>
    </border>
    <border>
      <left style="thin">
        <color auto="1"/>
      </left>
      <right style="medium">
        <color auto="1"/>
      </right>
      <top/>
      <bottom style="medium">
        <color auto="1"/>
      </bottom>
      <diagonal/>
    </border>
    <border>
      <left/>
      <right style="thin">
        <color auto="1"/>
      </right>
      <top/>
      <bottom/>
      <diagonal/>
    </border>
    <border>
      <left style="medium">
        <color auto="1"/>
      </left>
      <right/>
      <top style="dashed">
        <color auto="1"/>
      </top>
      <bottom style="medium">
        <color auto="1"/>
      </bottom>
      <diagonal/>
    </border>
    <border>
      <left/>
      <right/>
      <top style="dashed">
        <color auto="1"/>
      </top>
      <bottom style="medium">
        <color auto="1"/>
      </bottom>
      <diagonal/>
    </border>
    <border>
      <left/>
      <right style="medium">
        <color auto="1"/>
      </right>
      <top style="dashed">
        <color auto="1"/>
      </top>
      <bottom style="medium">
        <color auto="1"/>
      </bottom>
      <diagonal/>
    </border>
    <border>
      <left/>
      <right style="thin">
        <color auto="1"/>
      </right>
      <top/>
      <bottom style="medium">
        <color auto="1"/>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s>
  <cellStyleXfs count="2">
    <xf numFmtId="0" fontId="0" fillId="0" borderId="0"/>
    <xf numFmtId="9" fontId="1" fillId="0" borderId="0" applyFont="0" applyFill="0" applyBorder="0" applyAlignment="0" applyProtection="0"/>
  </cellStyleXfs>
  <cellXfs count="174">
    <xf numFmtId="0" fontId="0" fillId="0" borderId="0" xfId="0"/>
    <xf numFmtId="9" fontId="0" fillId="0" borderId="0" xfId="1" applyFont="1"/>
    <xf numFmtId="0" fontId="0" fillId="0" borderId="0" xfId="0" applyNumberFormat="1"/>
    <xf numFmtId="0" fontId="4" fillId="0" borderId="0" xfId="0" applyFont="1" applyBorder="1" applyAlignment="1">
      <alignment horizontal="center" vertical="center"/>
    </xf>
    <xf numFmtId="0" fontId="0" fillId="0" borderId="6" xfId="0" applyFont="1"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Font="1" applyBorder="1" applyAlignment="1" applyProtection="1">
      <alignment horizontal="center"/>
      <protection locked="0"/>
    </xf>
    <xf numFmtId="0" fontId="0" fillId="0" borderId="6" xfId="0" applyBorder="1" applyAlignment="1" applyProtection="1">
      <alignment horizontal="center"/>
      <protection locked="0"/>
    </xf>
    <xf numFmtId="0" fontId="0" fillId="0" borderId="6" xfId="0"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8" xfId="0" applyFont="1" applyFill="1" applyBorder="1" applyAlignment="1" applyProtection="1">
      <alignment horizontal="center"/>
      <protection locked="0"/>
    </xf>
    <xf numFmtId="0" fontId="0" fillId="0" borderId="11" xfId="0" applyFont="1" applyFill="1" applyBorder="1" applyAlignment="1" applyProtection="1">
      <alignment horizontal="center"/>
      <protection locked="0"/>
    </xf>
    <xf numFmtId="0" fontId="0" fillId="0" borderId="0" xfId="0" applyFont="1" applyBorder="1" applyAlignment="1" applyProtection="1">
      <alignment horizontal="center"/>
      <protection locked="0"/>
    </xf>
    <xf numFmtId="0" fontId="0" fillId="0" borderId="0" xfId="0" applyProtection="1">
      <protection hidden="1"/>
    </xf>
    <xf numFmtId="0" fontId="4" fillId="0" borderId="0" xfId="0" applyFont="1" applyProtection="1">
      <protection hidden="1"/>
    </xf>
    <xf numFmtId="0" fontId="10" fillId="0" borderId="15" xfId="0" applyFont="1" applyBorder="1" applyAlignment="1" applyProtection="1">
      <alignment horizontal="center"/>
      <protection hidden="1"/>
    </xf>
    <xf numFmtId="0" fontId="10" fillId="0" borderId="16" xfId="0" applyFont="1" applyBorder="1" applyAlignment="1" applyProtection="1">
      <alignment horizontal="center"/>
      <protection hidden="1"/>
    </xf>
    <xf numFmtId="0" fontId="10" fillId="0" borderId="17" xfId="0" applyFont="1" applyBorder="1" applyAlignment="1" applyProtection="1">
      <alignment horizontal="center"/>
      <protection hidden="1"/>
    </xf>
    <xf numFmtId="0" fontId="0" fillId="0" borderId="0" xfId="0" applyFont="1" applyProtection="1">
      <protection hidden="1"/>
    </xf>
    <xf numFmtId="0" fontId="2" fillId="2" borderId="7" xfId="0" applyFont="1" applyFill="1" applyBorder="1" applyAlignment="1" applyProtection="1">
      <alignment horizontal="center"/>
      <protection hidden="1"/>
    </xf>
    <xf numFmtId="0" fontId="2" fillId="2" borderId="9" xfId="0" applyFont="1" applyFill="1" applyBorder="1" applyAlignment="1" applyProtection="1">
      <alignment horizontal="center"/>
      <protection hidden="1"/>
    </xf>
    <xf numFmtId="0" fontId="0" fillId="0" borderId="14" xfId="0" applyFont="1" applyBorder="1" applyAlignment="1" applyProtection="1">
      <alignment horizontal="center"/>
      <protection hidden="1"/>
    </xf>
    <xf numFmtId="0" fontId="0" fillId="0" borderId="12" xfId="0" applyFont="1" applyBorder="1" applyAlignment="1" applyProtection="1">
      <alignment horizontal="center"/>
      <protection hidden="1"/>
    </xf>
    <xf numFmtId="0" fontId="2" fillId="2" borderId="13" xfId="0" applyFont="1" applyFill="1" applyBorder="1" applyAlignment="1" applyProtection="1">
      <alignment horizontal="center"/>
      <protection hidden="1"/>
    </xf>
    <xf numFmtId="0" fontId="2" fillId="2" borderId="14" xfId="0" applyFont="1" applyFill="1" applyBorder="1" applyAlignment="1" applyProtection="1">
      <alignment vertical="center"/>
      <protection hidden="1"/>
    </xf>
    <xf numFmtId="0" fontId="2" fillId="2" borderId="12" xfId="0" applyFont="1" applyFill="1" applyBorder="1" applyAlignment="1" applyProtection="1">
      <alignment vertical="center"/>
      <protection hidden="1"/>
    </xf>
    <xf numFmtId="0" fontId="5" fillId="0" borderId="14" xfId="0" applyFont="1" applyFill="1" applyBorder="1" applyAlignment="1" applyProtection="1">
      <alignment horizontal="center"/>
      <protection hidden="1"/>
    </xf>
    <xf numFmtId="0" fontId="0" fillId="0" borderId="14" xfId="0" applyFont="1" applyFill="1" applyBorder="1" applyAlignment="1" applyProtection="1">
      <alignment horizontal="center"/>
      <protection hidden="1"/>
    </xf>
    <xf numFmtId="0" fontId="0" fillId="0" borderId="12" xfId="0" applyFont="1" applyFill="1" applyBorder="1" applyAlignment="1" applyProtection="1">
      <alignment horizontal="center"/>
      <protection hidden="1"/>
    </xf>
    <xf numFmtId="0" fontId="0" fillId="0" borderId="0" xfId="0" applyFont="1"/>
    <xf numFmtId="0" fontId="2" fillId="2" borderId="8" xfId="0" applyFont="1" applyFill="1" applyBorder="1" applyAlignment="1" applyProtection="1">
      <alignment horizontal="center"/>
      <protection hidden="1"/>
    </xf>
    <xf numFmtId="0" fontId="2" fillId="2" borderId="5" xfId="0" applyFont="1" applyFill="1" applyBorder="1" applyAlignment="1" applyProtection="1">
      <alignment horizontal="center"/>
      <protection hidden="1"/>
    </xf>
    <xf numFmtId="0" fontId="11" fillId="2" borderId="13" xfId="0" applyFont="1" applyFill="1" applyBorder="1" applyAlignment="1" applyProtection="1">
      <alignment wrapText="1"/>
      <protection hidden="1"/>
    </xf>
    <xf numFmtId="0" fontId="11" fillId="2" borderId="12" xfId="0" applyFont="1" applyFill="1" applyBorder="1" applyAlignment="1" applyProtection="1">
      <alignment horizontal="center"/>
      <protection hidden="1"/>
    </xf>
    <xf numFmtId="0" fontId="0" fillId="0" borderId="0" xfId="0" applyFont="1" applyFill="1"/>
    <xf numFmtId="20" fontId="0" fillId="0" borderId="0" xfId="0" applyNumberFormat="1"/>
    <xf numFmtId="0" fontId="0" fillId="3" borderId="0" xfId="0" applyFont="1" applyFill="1" applyProtection="1">
      <protection hidden="1"/>
    </xf>
    <xf numFmtId="0" fontId="0" fillId="3" borderId="0" xfId="0" applyFont="1" applyFill="1" applyBorder="1" applyAlignment="1" applyProtection="1">
      <alignment horizontal="center"/>
      <protection hidden="1"/>
    </xf>
    <xf numFmtId="0" fontId="0" fillId="3" borderId="0" xfId="0" applyNumberFormat="1" applyFont="1" applyFill="1" applyProtection="1">
      <protection hidden="1"/>
    </xf>
    <xf numFmtId="9" fontId="0" fillId="3" borderId="0" xfId="1" applyFont="1" applyFill="1" applyProtection="1">
      <protection hidden="1"/>
    </xf>
    <xf numFmtId="0" fontId="8" fillId="3" borderId="0" xfId="0" applyFont="1" applyFill="1" applyProtection="1">
      <protection hidden="1"/>
    </xf>
    <xf numFmtId="0" fontId="8" fillId="3" borderId="0" xfId="0" applyFont="1" applyFill="1" applyAlignment="1" applyProtection="1">
      <alignment horizontal="center"/>
      <protection hidden="1"/>
    </xf>
    <xf numFmtId="0" fontId="8" fillId="3" borderId="0" xfId="0" applyNumberFormat="1" applyFont="1" applyFill="1" applyBorder="1" applyProtection="1">
      <protection hidden="1"/>
    </xf>
    <xf numFmtId="0" fontId="15" fillId="3" borderId="0" xfId="0" applyFont="1" applyFill="1" applyBorder="1" applyAlignment="1" applyProtection="1">
      <alignment horizontal="center"/>
      <protection hidden="1"/>
    </xf>
    <xf numFmtId="0" fontId="8" fillId="3" borderId="0" xfId="0" applyFont="1" applyFill="1" applyBorder="1" applyProtection="1">
      <protection hidden="1"/>
    </xf>
    <xf numFmtId="9" fontId="8" fillId="3" borderId="0" xfId="1" applyFont="1" applyFill="1" applyBorder="1" applyAlignment="1" applyProtection="1">
      <alignment horizontal="center"/>
      <protection hidden="1"/>
    </xf>
    <xf numFmtId="0" fontId="8" fillId="3" borderId="0" xfId="0" applyFont="1" applyFill="1" applyBorder="1" applyAlignment="1" applyProtection="1">
      <alignment horizontal="center"/>
      <protection hidden="1"/>
    </xf>
    <xf numFmtId="0" fontId="8" fillId="3" borderId="0" xfId="0" applyNumberFormat="1" applyFont="1" applyFill="1" applyProtection="1">
      <protection hidden="1"/>
    </xf>
    <xf numFmtId="9" fontId="8" fillId="3" borderId="0" xfId="1" applyFont="1" applyFill="1" applyProtection="1">
      <protection hidden="1"/>
    </xf>
    <xf numFmtId="0" fontId="8" fillId="3" borderId="0" xfId="0" applyNumberFormat="1" applyFont="1" applyFill="1" applyAlignment="1" applyProtection="1">
      <alignment horizontal="center"/>
      <protection hidden="1"/>
    </xf>
    <xf numFmtId="0" fontId="0" fillId="3" borderId="0" xfId="0" applyFill="1" applyProtection="1">
      <protection hidden="1"/>
    </xf>
    <xf numFmtId="0" fontId="8" fillId="3" borderId="0" xfId="0" applyFont="1" applyFill="1"/>
    <xf numFmtId="0" fontId="13" fillId="3" borderId="0" xfId="0" applyNumberFormat="1" applyFont="1" applyFill="1" applyAlignment="1" applyProtection="1">
      <alignment horizontal="center" wrapText="1"/>
      <protection hidden="1"/>
    </xf>
    <xf numFmtId="0" fontId="4" fillId="3" borderId="0" xfId="0" applyFont="1" applyFill="1" applyProtection="1">
      <protection hidden="1"/>
    </xf>
    <xf numFmtId="0" fontId="0" fillId="3" borderId="0" xfId="0" applyNumberFormat="1" applyFill="1" applyProtection="1">
      <protection hidden="1"/>
    </xf>
    <xf numFmtId="0" fontId="0" fillId="3" borderId="0" xfId="0" applyFill="1"/>
    <xf numFmtId="0" fontId="2" fillId="3" borderId="7" xfId="0" applyFont="1" applyFill="1" applyBorder="1" applyAlignment="1" applyProtection="1">
      <alignment horizontal="center"/>
      <protection hidden="1"/>
    </xf>
    <xf numFmtId="0" fontId="0" fillId="3" borderId="7" xfId="0" applyFill="1" applyBorder="1" applyAlignment="1" applyProtection="1">
      <alignment horizontal="center"/>
      <protection hidden="1"/>
    </xf>
    <xf numFmtId="0" fontId="0" fillId="3" borderId="7" xfId="0" applyFont="1" applyFill="1" applyBorder="1" applyAlignment="1" applyProtection="1">
      <alignment horizontal="center"/>
      <protection hidden="1"/>
    </xf>
    <xf numFmtId="0" fontId="9" fillId="3" borderId="7" xfId="0" applyFont="1" applyFill="1" applyBorder="1" applyAlignment="1" applyProtection="1">
      <alignment horizontal="center"/>
      <protection hidden="1"/>
    </xf>
    <xf numFmtId="0" fontId="6" fillId="3" borderId="7" xfId="0" applyFont="1" applyFill="1" applyBorder="1" applyAlignment="1" applyProtection="1">
      <alignment horizontal="center" vertical="center"/>
      <protection hidden="1"/>
    </xf>
    <xf numFmtId="0" fontId="2" fillId="3" borderId="0" xfId="0" applyFont="1" applyFill="1" applyBorder="1" applyAlignment="1" applyProtection="1">
      <alignment horizontal="center"/>
      <protection hidden="1"/>
    </xf>
    <xf numFmtId="0" fontId="0" fillId="3" borderId="0" xfId="0" applyFill="1" applyBorder="1" applyAlignment="1" applyProtection="1">
      <alignment horizontal="center"/>
      <protection hidden="1"/>
    </xf>
    <xf numFmtId="0" fontId="7" fillId="3" borderId="0" xfId="0" applyFont="1" applyFill="1" applyProtection="1">
      <protection hidden="1"/>
    </xf>
    <xf numFmtId="0" fontId="2" fillId="0" borderId="6" xfId="0" applyFont="1" applyBorder="1" applyAlignment="1" applyProtection="1">
      <alignment horizontal="center"/>
      <protection locked="0"/>
    </xf>
    <xf numFmtId="0" fontId="11" fillId="0" borderId="19" xfId="0" applyFont="1" applyFill="1" applyBorder="1" applyAlignment="1" applyProtection="1">
      <alignment horizontal="left" vertical="center"/>
      <protection hidden="1"/>
    </xf>
    <xf numFmtId="0" fontId="11" fillId="0" borderId="20" xfId="0" applyFont="1" applyFill="1" applyBorder="1" applyAlignment="1" applyProtection="1">
      <alignment horizontal="left"/>
      <protection hidden="1"/>
    </xf>
    <xf numFmtId="0" fontId="2" fillId="0" borderId="21" xfId="0" applyFont="1" applyFill="1" applyBorder="1" applyAlignment="1" applyProtection="1">
      <alignment horizontal="center"/>
      <protection hidden="1"/>
    </xf>
    <xf numFmtId="0" fontId="16" fillId="3" borderId="0" xfId="0" applyFont="1" applyFill="1" applyBorder="1" applyAlignment="1" applyProtection="1">
      <alignment horizontal="center" vertical="center"/>
      <protection hidden="1"/>
    </xf>
    <xf numFmtId="0" fontId="8" fillId="3" borderId="0" xfId="0" applyNumberFormat="1" applyFont="1" applyFill="1"/>
    <xf numFmtId="9" fontId="8" fillId="3" borderId="0" xfId="1" applyFont="1" applyFill="1"/>
    <xf numFmtId="0" fontId="2" fillId="0" borderId="0" xfId="0" applyFont="1"/>
    <xf numFmtId="0" fontId="14" fillId="0" borderId="0" xfId="0" applyFont="1"/>
    <xf numFmtId="0" fontId="0" fillId="3" borderId="0" xfId="0" applyNumberFormat="1" applyFill="1" applyProtection="1">
      <protection locked="0" hidden="1"/>
    </xf>
    <xf numFmtId="0" fontId="0" fillId="3" borderId="0" xfId="0" applyFont="1" applyFill="1" applyBorder="1" applyProtection="1">
      <protection hidden="1"/>
    </xf>
    <xf numFmtId="0" fontId="0" fillId="3" borderId="0" xfId="0" applyFont="1" applyFill="1"/>
    <xf numFmtId="0" fontId="0" fillId="3" borderId="0" xfId="0" applyNumberFormat="1" applyFont="1" applyFill="1"/>
    <xf numFmtId="9" fontId="0" fillId="3" borderId="0" xfId="1" applyFont="1" applyFill="1"/>
    <xf numFmtId="0" fontId="7" fillId="3" borderId="0" xfId="0" applyFont="1" applyFill="1" applyBorder="1" applyAlignment="1" applyProtection="1">
      <protection hidden="1"/>
    </xf>
    <xf numFmtId="0" fontId="3" fillId="3" borderId="0" xfId="0" applyFont="1" applyFill="1" applyBorder="1" applyAlignment="1" applyProtection="1">
      <protection hidden="1"/>
    </xf>
    <xf numFmtId="0" fontId="17" fillId="3" borderId="0" xfId="0" applyFont="1" applyFill="1" applyProtection="1">
      <protection hidden="1"/>
    </xf>
    <xf numFmtId="0" fontId="17" fillId="3" borderId="0" xfId="0" applyFont="1" applyFill="1"/>
    <xf numFmtId="0" fontId="8" fillId="0" borderId="0" xfId="0" applyFont="1"/>
    <xf numFmtId="0" fontId="18" fillId="3" borderId="0" xfId="0" applyFont="1" applyFill="1" applyProtection="1">
      <protection hidden="1"/>
    </xf>
    <xf numFmtId="0" fontId="9" fillId="0" borderId="0" xfId="0" applyFont="1" applyBorder="1" applyAlignment="1" applyProtection="1">
      <alignment horizontal="center"/>
      <protection locked="0"/>
    </xf>
    <xf numFmtId="0" fontId="9" fillId="0" borderId="9" xfId="0" applyFont="1" applyBorder="1" applyAlignment="1" applyProtection="1">
      <alignment horizontal="center"/>
      <protection locked="0"/>
    </xf>
    <xf numFmtId="0" fontId="9" fillId="0" borderId="7" xfId="0" applyFont="1" applyBorder="1" applyAlignment="1" applyProtection="1">
      <alignment horizontal="center"/>
      <protection locked="0"/>
    </xf>
    <xf numFmtId="0" fontId="2" fillId="2" borderId="0" xfId="0" applyFont="1" applyFill="1" applyBorder="1" applyProtection="1">
      <protection hidden="1"/>
    </xf>
    <xf numFmtId="0" fontId="2" fillId="2" borderId="1" xfId="0" applyFont="1" applyFill="1" applyBorder="1" applyProtection="1">
      <protection hidden="1"/>
    </xf>
    <xf numFmtId="0" fontId="2" fillId="2" borderId="6" xfId="0" applyFont="1" applyFill="1" applyBorder="1" applyAlignment="1" applyProtection="1">
      <alignment horizontal="center"/>
      <protection hidden="1"/>
    </xf>
    <xf numFmtId="0" fontId="9" fillId="3" borderId="0" xfId="0" applyFont="1" applyFill="1" applyBorder="1" applyAlignment="1" applyProtection="1">
      <alignment horizontal="center"/>
      <protection hidden="1"/>
    </xf>
    <xf numFmtId="0" fontId="6" fillId="0" borderId="13" xfId="0" applyFont="1" applyFill="1" applyBorder="1" applyAlignment="1" applyProtection="1">
      <alignment horizontal="center" vertical="center"/>
      <protection locked="0"/>
    </xf>
    <xf numFmtId="0" fontId="6" fillId="0" borderId="14" xfId="0" applyFont="1" applyFill="1" applyBorder="1" applyAlignment="1" applyProtection="1">
      <alignment horizontal="center" vertical="center"/>
      <protection locked="0"/>
    </xf>
    <xf numFmtId="0" fontId="6" fillId="0" borderId="12" xfId="0" applyFont="1" applyFill="1" applyBorder="1" applyAlignment="1" applyProtection="1">
      <alignment horizontal="center" vertical="center"/>
      <protection locked="0"/>
    </xf>
    <xf numFmtId="0" fontId="0" fillId="0" borderId="23" xfId="0" applyFont="1" applyBorder="1" applyAlignment="1" applyProtection="1">
      <alignment horizontal="center"/>
      <protection locked="0"/>
    </xf>
    <xf numFmtId="0" fontId="0" fillId="0" borderId="24" xfId="0" applyFont="1" applyBorder="1" applyAlignment="1" applyProtection="1">
      <alignment horizontal="center"/>
      <protection locked="0"/>
    </xf>
    <xf numFmtId="0" fontId="18" fillId="3" borderId="0" xfId="0" applyFont="1" applyFill="1" applyBorder="1" applyProtection="1">
      <protection hidden="1"/>
    </xf>
    <xf numFmtId="0" fontId="18" fillId="3" borderId="0" xfId="0" applyFont="1" applyFill="1"/>
    <xf numFmtId="0" fontId="18" fillId="3" borderId="0" xfId="0" applyNumberFormat="1" applyFont="1" applyFill="1"/>
    <xf numFmtId="9" fontId="18" fillId="3" borderId="0" xfId="1" applyFont="1" applyFill="1"/>
    <xf numFmtId="0" fontId="9" fillId="0" borderId="0" xfId="0" applyFont="1" applyBorder="1" applyAlignment="1" applyProtection="1">
      <alignment horizontal="center"/>
      <protection locked="0"/>
    </xf>
    <xf numFmtId="0" fontId="9" fillId="0" borderId="9" xfId="0" applyFont="1" applyBorder="1" applyAlignment="1" applyProtection="1">
      <alignment horizontal="center"/>
      <protection locked="0"/>
    </xf>
    <xf numFmtId="0" fontId="2" fillId="2" borderId="5" xfId="0" applyFont="1" applyFill="1" applyBorder="1" applyProtection="1">
      <protection hidden="1"/>
    </xf>
    <xf numFmtId="0" fontId="2" fillId="2" borderId="7" xfId="0" applyFont="1" applyFill="1" applyBorder="1" applyProtection="1">
      <protection hidden="1"/>
    </xf>
    <xf numFmtId="0" fontId="2" fillId="2" borderId="10" xfId="0" applyFont="1" applyFill="1" applyBorder="1" applyProtection="1">
      <protection hidden="1"/>
    </xf>
    <xf numFmtId="0" fontId="2" fillId="2" borderId="6" xfId="0" applyFont="1" applyFill="1" applyBorder="1" applyProtection="1">
      <protection hidden="1"/>
    </xf>
    <xf numFmtId="0" fontId="2" fillId="2" borderId="0" xfId="0" applyFont="1" applyFill="1" applyBorder="1" applyProtection="1">
      <protection hidden="1"/>
    </xf>
    <xf numFmtId="0" fontId="2" fillId="2" borderId="1" xfId="0" applyFont="1" applyFill="1" applyBorder="1" applyProtection="1">
      <protection hidden="1"/>
    </xf>
    <xf numFmtId="0" fontId="2" fillId="2" borderId="8" xfId="0" applyFont="1" applyFill="1" applyBorder="1" applyProtection="1">
      <protection hidden="1"/>
    </xf>
    <xf numFmtId="0" fontId="2" fillId="2" borderId="9" xfId="0" applyFont="1" applyFill="1" applyBorder="1" applyProtection="1">
      <protection hidden="1"/>
    </xf>
    <xf numFmtId="0" fontId="2" fillId="2" borderId="11" xfId="0" applyFont="1" applyFill="1" applyBorder="1" applyProtection="1">
      <protection hidden="1"/>
    </xf>
    <xf numFmtId="0" fontId="2" fillId="2" borderId="6" xfId="0" applyFont="1" applyFill="1" applyBorder="1" applyAlignment="1" applyProtection="1">
      <alignment horizontal="center" vertical="center"/>
      <protection hidden="1"/>
    </xf>
    <xf numFmtId="0" fontId="2" fillId="2" borderId="0" xfId="0" applyFont="1" applyFill="1" applyBorder="1" applyAlignment="1" applyProtection="1">
      <alignment horizontal="center" vertical="center"/>
      <protection hidden="1"/>
    </xf>
    <xf numFmtId="0" fontId="2" fillId="2" borderId="8" xfId="0" applyFont="1" applyFill="1" applyBorder="1" applyAlignment="1" applyProtection="1">
      <alignment horizontal="center" vertical="center"/>
      <protection hidden="1"/>
    </xf>
    <xf numFmtId="0" fontId="2" fillId="2" borderId="9" xfId="0" applyFont="1" applyFill="1" applyBorder="1" applyAlignment="1" applyProtection="1">
      <alignment horizontal="center" vertical="center"/>
      <protection hidden="1"/>
    </xf>
    <xf numFmtId="0" fontId="3" fillId="0" borderId="0" xfId="0" applyFont="1" applyBorder="1" applyAlignment="1" applyProtection="1">
      <alignment horizontal="center"/>
      <protection hidden="1"/>
    </xf>
    <xf numFmtId="0" fontId="0" fillId="0" borderId="6" xfId="0" applyBorder="1" applyProtection="1">
      <protection locked="0"/>
    </xf>
    <xf numFmtId="0" fontId="0" fillId="0" borderId="0" xfId="0" applyFont="1" applyBorder="1" applyProtection="1">
      <protection locked="0"/>
    </xf>
    <xf numFmtId="0" fontId="0" fillId="0" borderId="8" xfId="0" applyBorder="1" applyProtection="1">
      <protection locked="0"/>
    </xf>
    <xf numFmtId="0" fontId="0" fillId="0" borderId="9" xfId="0" applyFont="1" applyBorder="1" applyProtection="1">
      <protection locked="0"/>
    </xf>
    <xf numFmtId="0" fontId="0" fillId="0" borderId="0" xfId="0" applyBorder="1" applyProtection="1">
      <protection locked="0"/>
    </xf>
    <xf numFmtId="0" fontId="0" fillId="0" borderId="1" xfId="0" applyBorder="1" applyProtection="1">
      <protection locked="0"/>
    </xf>
    <xf numFmtId="0" fontId="2" fillId="2" borderId="2" xfId="0" applyFont="1" applyFill="1" applyBorder="1" applyAlignment="1" applyProtection="1">
      <alignment horizontal="center"/>
      <protection hidden="1"/>
    </xf>
    <xf numFmtId="0" fontId="2" fillId="2" borderId="4" xfId="0" applyFont="1" applyFill="1" applyBorder="1" applyAlignment="1" applyProtection="1">
      <alignment horizontal="center"/>
      <protection hidden="1"/>
    </xf>
    <xf numFmtId="0" fontId="2" fillId="2" borderId="3" xfId="0" applyFont="1" applyFill="1" applyBorder="1" applyAlignment="1" applyProtection="1">
      <alignment horizontal="center"/>
      <protection hidden="1"/>
    </xf>
    <xf numFmtId="0" fontId="0" fillId="0" borderId="5" xfId="0" applyBorder="1" applyProtection="1">
      <protection locked="0"/>
    </xf>
    <xf numFmtId="0" fontId="0" fillId="0" borderId="7" xfId="0" applyFont="1" applyBorder="1" applyProtection="1">
      <protection locked="0"/>
    </xf>
    <xf numFmtId="0" fontId="2" fillId="2" borderId="1" xfId="0" applyFont="1" applyFill="1" applyBorder="1" applyAlignment="1" applyProtection="1">
      <alignment horizontal="center" vertical="center" wrapText="1"/>
      <protection hidden="1"/>
    </xf>
    <xf numFmtId="0" fontId="2" fillId="2" borderId="11" xfId="0" applyFont="1" applyFill="1" applyBorder="1" applyAlignment="1" applyProtection="1">
      <alignment horizontal="center" vertical="center" wrapText="1"/>
      <protection hidden="1"/>
    </xf>
    <xf numFmtId="0" fontId="9" fillId="0" borderId="7" xfId="0" applyFont="1" applyBorder="1" applyAlignment="1" applyProtection="1">
      <alignment horizontal="center"/>
      <protection locked="0"/>
    </xf>
    <xf numFmtId="0" fontId="4" fillId="3" borderId="0" xfId="0" applyFont="1" applyFill="1" applyBorder="1" applyAlignment="1" applyProtection="1">
      <alignment horizontal="left" wrapText="1"/>
      <protection hidden="1"/>
    </xf>
    <xf numFmtId="0" fontId="3" fillId="3" borderId="0" xfId="0" applyFont="1" applyFill="1" applyBorder="1" applyAlignment="1" applyProtection="1">
      <alignment horizontal="left" wrapText="1"/>
      <protection hidden="1"/>
    </xf>
    <xf numFmtId="0" fontId="0" fillId="0" borderId="9" xfId="0" applyBorder="1" applyProtection="1">
      <protection locked="0"/>
    </xf>
    <xf numFmtId="0" fontId="0" fillId="0" borderId="11" xfId="0" applyBorder="1" applyProtection="1">
      <protection locked="0"/>
    </xf>
    <xf numFmtId="0" fontId="4" fillId="3" borderId="0" xfId="0" applyFont="1" applyFill="1" applyBorder="1" applyAlignment="1" applyProtection="1">
      <alignment horizontal="center" vertical="center"/>
      <protection hidden="1"/>
    </xf>
    <xf numFmtId="0" fontId="4" fillId="3" borderId="9" xfId="0" applyFont="1" applyFill="1" applyBorder="1" applyAlignment="1" applyProtection="1">
      <alignment horizontal="center" vertical="center"/>
      <protection hidden="1"/>
    </xf>
    <xf numFmtId="0" fontId="0" fillId="0" borderId="8" xfId="0" applyFont="1" applyBorder="1" applyProtection="1">
      <protection locked="0"/>
    </xf>
    <xf numFmtId="0" fontId="0" fillId="0" borderId="22" xfId="0" applyFont="1" applyBorder="1" applyProtection="1">
      <protection locked="0"/>
    </xf>
    <xf numFmtId="0" fontId="0" fillId="0" borderId="6" xfId="0" applyBorder="1" applyAlignment="1" applyProtection="1">
      <alignment horizontal="left" vertical="top"/>
      <protection locked="0"/>
    </xf>
    <xf numFmtId="0" fontId="0" fillId="0" borderId="0" xfId="0" applyFont="1" applyBorder="1" applyAlignment="1" applyProtection="1">
      <alignment horizontal="left" vertical="top"/>
      <protection locked="0"/>
    </xf>
    <xf numFmtId="0" fontId="0" fillId="0" borderId="18" xfId="0" applyFont="1" applyBorder="1" applyAlignment="1" applyProtection="1">
      <alignment horizontal="left" vertical="top"/>
      <protection locked="0"/>
    </xf>
    <xf numFmtId="0" fontId="10" fillId="0" borderId="16" xfId="0" applyFont="1" applyBorder="1" applyAlignment="1" applyProtection="1">
      <alignment horizontal="center" vertical="center"/>
      <protection hidden="1"/>
    </xf>
    <xf numFmtId="0" fontId="2" fillId="2" borderId="5" xfId="0" applyFont="1" applyFill="1" applyBorder="1" applyAlignment="1" applyProtection="1">
      <alignment horizontal="center" vertical="center"/>
      <protection hidden="1"/>
    </xf>
    <xf numFmtId="0" fontId="12" fillId="0" borderId="0" xfId="0" applyFont="1" applyBorder="1" applyAlignment="1" applyProtection="1">
      <alignment horizontal="center"/>
      <protection locked="0"/>
    </xf>
    <xf numFmtId="0" fontId="13" fillId="3" borderId="0" xfId="0" applyNumberFormat="1" applyFont="1" applyFill="1" applyAlignment="1" applyProtection="1">
      <alignment horizontal="center" wrapText="1"/>
      <protection hidden="1"/>
    </xf>
    <xf numFmtId="0" fontId="19" fillId="0" borderId="0" xfId="0" applyFont="1" applyFill="1" applyAlignment="1" applyProtection="1">
      <alignment horizontal="center" vertical="top"/>
      <protection hidden="1"/>
    </xf>
    <xf numFmtId="0" fontId="14" fillId="3" borderId="0" xfId="0" applyFont="1" applyFill="1" applyBorder="1" applyAlignment="1">
      <alignment horizontal="center" vertical="center" wrapText="1"/>
    </xf>
    <xf numFmtId="0" fontId="10" fillId="3" borderId="0" xfId="0" applyFont="1" applyFill="1" applyAlignment="1" applyProtection="1">
      <alignment vertical="center"/>
      <protection hidden="1"/>
    </xf>
    <xf numFmtId="0" fontId="3" fillId="3" borderId="9" xfId="0" applyFont="1" applyFill="1" applyBorder="1" applyAlignment="1" applyProtection="1">
      <alignment horizontal="center"/>
      <protection hidden="1"/>
    </xf>
    <xf numFmtId="0" fontId="0" fillId="0" borderId="5" xfId="0" applyFont="1" applyBorder="1" applyProtection="1">
      <protection locked="0"/>
    </xf>
    <xf numFmtId="0" fontId="0" fillId="0" borderId="6" xfId="0" applyFont="1" applyBorder="1" applyProtection="1">
      <protection locked="0"/>
    </xf>
    <xf numFmtId="0" fontId="2" fillId="2" borderId="6" xfId="0" applyFont="1" applyFill="1" applyBorder="1" applyAlignment="1" applyProtection="1">
      <alignment horizontal="left"/>
      <protection hidden="1"/>
    </xf>
    <xf numFmtId="0" fontId="2" fillId="2" borderId="0" xfId="0" applyFont="1" applyFill="1" applyBorder="1" applyAlignment="1" applyProtection="1">
      <alignment horizontal="left"/>
      <protection hidden="1"/>
    </xf>
    <xf numFmtId="0" fontId="0" fillId="2" borderId="0" xfId="0" applyFill="1" applyBorder="1" applyAlignment="1">
      <alignment horizontal="center" wrapText="1"/>
    </xf>
    <xf numFmtId="0" fontId="0" fillId="2" borderId="10" xfId="0" applyFill="1" applyBorder="1" applyAlignment="1">
      <alignment horizontal="center" wrapText="1"/>
    </xf>
    <xf numFmtId="0" fontId="0" fillId="2" borderId="9" xfId="0" applyFill="1" applyBorder="1" applyAlignment="1">
      <alignment horizontal="center" wrapText="1"/>
    </xf>
    <xf numFmtId="0" fontId="0" fillId="2" borderId="11" xfId="0" applyFill="1" applyBorder="1" applyAlignment="1">
      <alignment horizontal="center" wrapText="1"/>
    </xf>
    <xf numFmtId="0" fontId="2" fillId="2" borderId="8" xfId="0" applyFont="1" applyFill="1" applyBorder="1" applyAlignment="1" applyProtection="1">
      <alignment horizontal="left" wrapText="1"/>
      <protection hidden="1"/>
    </xf>
    <xf numFmtId="0" fontId="2" fillId="2" borderId="9" xfId="0" applyFont="1" applyFill="1" applyBorder="1" applyAlignment="1" applyProtection="1">
      <alignment horizontal="left" wrapText="1"/>
      <protection hidden="1"/>
    </xf>
    <xf numFmtId="0" fontId="4" fillId="3" borderId="0" xfId="0" applyFont="1" applyFill="1" applyAlignment="1">
      <alignment horizontal="center"/>
    </xf>
    <xf numFmtId="0" fontId="0" fillId="0" borderId="7" xfId="0" applyBorder="1" applyProtection="1">
      <protection locked="0"/>
    </xf>
    <xf numFmtId="0" fontId="0" fillId="0" borderId="10" xfId="0" applyBorder="1" applyProtection="1">
      <protection locked="0"/>
    </xf>
    <xf numFmtId="0" fontId="2" fillId="2" borderId="9" xfId="0" applyNumberFormat="1" applyFont="1" applyFill="1" applyBorder="1" applyAlignment="1" applyProtection="1">
      <alignment horizontal="center"/>
      <protection hidden="1"/>
    </xf>
    <xf numFmtId="0" fontId="2" fillId="2" borderId="11" xfId="0" applyNumberFormat="1" applyFont="1" applyFill="1" applyBorder="1" applyAlignment="1" applyProtection="1">
      <alignment horizontal="center"/>
      <protection hidden="1"/>
    </xf>
    <xf numFmtId="0" fontId="2" fillId="2" borderId="7" xfId="0" applyFont="1" applyFill="1" applyBorder="1" applyAlignment="1" applyProtection="1">
      <alignment horizontal="center"/>
      <protection hidden="1"/>
    </xf>
    <xf numFmtId="0" fontId="2" fillId="2" borderId="10" xfId="0" applyFont="1" applyFill="1" applyBorder="1" applyAlignment="1" applyProtection="1">
      <alignment horizontal="center"/>
      <protection hidden="1"/>
    </xf>
    <xf numFmtId="49" fontId="0" fillId="0" borderId="0" xfId="0" applyNumberFormat="1" applyBorder="1" applyAlignment="1" applyProtection="1">
      <alignment horizontal="center"/>
      <protection locked="0"/>
    </xf>
    <xf numFmtId="0" fontId="2" fillId="2" borderId="7" xfId="0" applyFont="1" applyFill="1" applyBorder="1" applyAlignment="1" applyProtection="1">
      <alignment horizontal="center" vertical="center"/>
      <protection hidden="1"/>
    </xf>
    <xf numFmtId="0" fontId="2" fillId="2" borderId="10" xfId="0" applyFont="1" applyFill="1" applyBorder="1" applyAlignment="1" applyProtection="1">
      <alignment horizontal="center" vertical="center"/>
      <protection hidden="1"/>
    </xf>
    <xf numFmtId="0" fontId="2" fillId="2" borderId="11" xfId="0" applyFont="1" applyFill="1" applyBorder="1" applyAlignment="1" applyProtection="1">
      <alignment horizontal="center" vertical="center"/>
      <protection hidden="1"/>
    </xf>
    <xf numFmtId="9" fontId="2" fillId="2" borderId="9" xfId="1" applyFont="1" applyFill="1" applyBorder="1" applyAlignment="1" applyProtection="1">
      <alignment horizontal="center"/>
      <protection hidden="1"/>
    </xf>
    <xf numFmtId="49" fontId="0" fillId="0" borderId="9" xfId="0" applyNumberFormat="1" applyBorder="1" applyAlignment="1" applyProtection="1">
      <alignment horizontal="center"/>
      <protection locked="0"/>
    </xf>
    <xf numFmtId="0" fontId="11" fillId="2" borderId="9" xfId="0" applyFont="1" applyFill="1" applyBorder="1" applyAlignment="1" applyProtection="1">
      <alignment horizontal="center" vertical="center"/>
      <protection hidden="1"/>
    </xf>
    <xf numFmtId="0" fontId="14" fillId="0" borderId="0" xfId="0" applyFont="1" applyAlignment="1">
      <alignment vertical="center" wrapText="1"/>
    </xf>
  </cellXfs>
  <cellStyles count="2">
    <cellStyle name="Normal" xfId="0" builtinId="0"/>
    <cellStyle name="Percent" xfId="1" builtinId="5"/>
  </cellStyles>
  <dxfs count="27">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rgb="FFFFFF00"/>
        </patternFill>
      </fill>
      <border>
        <left/>
        <right/>
        <top/>
        <bottom/>
      </border>
    </dxf>
    <dxf>
      <font>
        <color rgb="FF006100"/>
      </font>
      <fill>
        <patternFill>
          <bgColor rgb="FFC6EFCE"/>
        </patternFill>
      </fill>
    </dxf>
    <dxf>
      <font>
        <color rgb="FF9C0006"/>
      </font>
      <fill>
        <patternFill>
          <bgColor rgb="FFFFC7CE"/>
        </patternFill>
      </fill>
    </dxf>
    <dxf>
      <font>
        <color theme="0"/>
      </font>
      <fill>
        <patternFill patternType="solid">
          <fgColor auto="1"/>
          <bgColor theme="0"/>
        </patternFill>
      </fill>
      <border>
        <left/>
        <right/>
        <top/>
        <bottom/>
        <vertical/>
        <horizontal/>
      </border>
    </dxf>
    <dxf>
      <font>
        <color theme="1"/>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lor theme="1"/>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s>
  <tableStyles count="0" defaultTableStyle="TableStyleMedium9" defaultPivotStyle="PivotStyleLight16"/>
  <colors>
    <mruColors>
      <color rgb="FF9C0006"/>
      <color rgb="FFFFC7CE"/>
      <color rgb="FF006100"/>
      <color rgb="FFC6EFCE"/>
      <color rgb="FF96D696"/>
    </mruColors>
  </colors>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baseline="0"/>
              <a:t>SCHEDULE SETTINGS GRAPH</a:t>
            </a:r>
          </a:p>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sz="1200" i="1" u="sng" baseline="0"/>
              <a:t>Please review and confirm that this represents  your desired control strategy.</a:t>
            </a:r>
          </a:p>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sz="1200" i="1" baseline="0"/>
              <a:t>Fixtures will operate at the brightness level shown (some models 10% min.) when power is on.  </a:t>
            </a:r>
          </a:p>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sz="1200" b="1" i="1" baseline="0"/>
              <a:t>Note:  Sunrise is represented as 600, sunset as 1800.</a:t>
            </a:r>
            <a:endParaRPr lang="en-US" sz="1200"/>
          </a:p>
        </c:rich>
      </c:tx>
      <c:layout>
        <c:manualLayout>
          <c:xMode val="edge"/>
          <c:yMode val="edge"/>
          <c:x val="0.2166578876068804"/>
          <c:y val="3.188858287526021E-2"/>
        </c:manualLayout>
      </c:layout>
    </c:title>
    <c:plotArea>
      <c:layout>
        <c:manualLayout>
          <c:layoutTarget val="inner"/>
          <c:xMode val="edge"/>
          <c:yMode val="edge"/>
          <c:x val="8.5877296587926505E-2"/>
          <c:y val="0.19701678304519724"/>
          <c:w val="0.86929636920384967"/>
          <c:h val="0.63095710172065556"/>
        </c:manualLayout>
      </c:layout>
      <c:scatterChart>
        <c:scatterStyle val="lineMarker"/>
        <c:ser>
          <c:idx val="0"/>
          <c:order val="0"/>
          <c:tx>
            <c:v>SCHEDULE 1</c:v>
          </c:tx>
          <c:spPr>
            <a:ln>
              <a:solidFill>
                <a:srgbClr val="0070C0"/>
              </a:solidFill>
            </a:ln>
          </c:spPr>
          <c:xVal>
            <c:numRef>
              <c:f>SITESYNC_COMMISSIONING!$D$96:$D$112</c:f>
              <c:numCache>
                <c:formatCode>General</c:formatCode>
                <c:ptCount val="17"/>
                <c:pt idx="0">
                  <c:v>0</c:v>
                </c:pt>
                <c:pt idx="1">
                  <c:v>2400</c:v>
                </c:pt>
                <c:pt idx="2">
                  <c:v>2400</c:v>
                </c:pt>
                <c:pt idx="3">
                  <c:v>2400</c:v>
                </c:pt>
                <c:pt idx="4">
                  <c:v>2400</c:v>
                </c:pt>
                <c:pt idx="5">
                  <c:v>2400</c:v>
                </c:pt>
                <c:pt idx="6">
                  <c:v>2400</c:v>
                </c:pt>
                <c:pt idx="7">
                  <c:v>2400</c:v>
                </c:pt>
                <c:pt idx="8">
                  <c:v>2400</c:v>
                </c:pt>
                <c:pt idx="9">
                  <c:v>2400</c:v>
                </c:pt>
                <c:pt idx="10">
                  <c:v>2400</c:v>
                </c:pt>
                <c:pt idx="11">
                  <c:v>2400</c:v>
                </c:pt>
                <c:pt idx="12">
                  <c:v>2400</c:v>
                </c:pt>
                <c:pt idx="13">
                  <c:v>2400</c:v>
                </c:pt>
                <c:pt idx="14">
                  <c:v>2400</c:v>
                </c:pt>
                <c:pt idx="15">
                  <c:v>2400</c:v>
                </c:pt>
                <c:pt idx="16">
                  <c:v>2400</c:v>
                </c:pt>
              </c:numCache>
            </c:numRef>
          </c:xVal>
          <c:yVal>
            <c:numRef>
              <c:f>SITESYNC_COMMISSIONING!$E$96:$E$112</c:f>
              <c:numCache>
                <c:formatCode>General</c:formatCode>
                <c:ptCount val="17"/>
                <c:pt idx="0">
                  <c:v>200</c:v>
                </c:pt>
                <c:pt idx="1">
                  <c:v>200</c:v>
                </c:pt>
                <c:pt idx="2">
                  <c:v>200</c:v>
                </c:pt>
                <c:pt idx="3">
                  <c:v>200</c:v>
                </c:pt>
                <c:pt idx="4">
                  <c:v>200</c:v>
                </c:pt>
                <c:pt idx="5">
                  <c:v>200</c:v>
                </c:pt>
                <c:pt idx="6">
                  <c:v>200</c:v>
                </c:pt>
                <c:pt idx="7">
                  <c:v>200</c:v>
                </c:pt>
                <c:pt idx="8">
                  <c:v>200</c:v>
                </c:pt>
                <c:pt idx="9">
                  <c:v>200</c:v>
                </c:pt>
                <c:pt idx="10">
                  <c:v>200</c:v>
                </c:pt>
                <c:pt idx="11">
                  <c:v>200</c:v>
                </c:pt>
                <c:pt idx="12">
                  <c:v>200</c:v>
                </c:pt>
                <c:pt idx="13">
                  <c:v>200</c:v>
                </c:pt>
                <c:pt idx="14">
                  <c:v>200</c:v>
                </c:pt>
                <c:pt idx="15">
                  <c:v>200</c:v>
                </c:pt>
                <c:pt idx="16">
                  <c:v>200</c:v>
                </c:pt>
              </c:numCache>
            </c:numRef>
          </c:yVal>
        </c:ser>
        <c:ser>
          <c:idx val="1"/>
          <c:order val="1"/>
          <c:tx>
            <c:v>SCHEDULE 2</c:v>
          </c:tx>
          <c:spPr>
            <a:ln>
              <a:solidFill>
                <a:srgbClr val="C00000"/>
              </a:solidFill>
            </a:ln>
          </c:spPr>
          <c:xVal>
            <c:numRef>
              <c:f>SITESYNC_COMMISSIONING!$H$96:$H$112</c:f>
              <c:numCache>
                <c:formatCode>General</c:formatCode>
                <c:ptCount val="17"/>
                <c:pt idx="0">
                  <c:v>0</c:v>
                </c:pt>
                <c:pt idx="1">
                  <c:v>2400</c:v>
                </c:pt>
                <c:pt idx="2">
                  <c:v>2400</c:v>
                </c:pt>
                <c:pt idx="3">
                  <c:v>2400</c:v>
                </c:pt>
                <c:pt idx="4">
                  <c:v>2400</c:v>
                </c:pt>
                <c:pt idx="5">
                  <c:v>2400</c:v>
                </c:pt>
                <c:pt idx="6">
                  <c:v>2400</c:v>
                </c:pt>
                <c:pt idx="7">
                  <c:v>2400</c:v>
                </c:pt>
                <c:pt idx="8">
                  <c:v>2400</c:v>
                </c:pt>
                <c:pt idx="9">
                  <c:v>2400</c:v>
                </c:pt>
                <c:pt idx="10">
                  <c:v>2400</c:v>
                </c:pt>
                <c:pt idx="11">
                  <c:v>2400</c:v>
                </c:pt>
                <c:pt idx="12">
                  <c:v>2400</c:v>
                </c:pt>
                <c:pt idx="13">
                  <c:v>2400</c:v>
                </c:pt>
                <c:pt idx="14">
                  <c:v>2400</c:v>
                </c:pt>
                <c:pt idx="15">
                  <c:v>2400</c:v>
                </c:pt>
                <c:pt idx="16">
                  <c:v>2400</c:v>
                </c:pt>
              </c:numCache>
            </c:numRef>
          </c:xVal>
          <c:yVal>
            <c:numRef>
              <c:f>SITESYNC_COMMISSIONING!$I$96:$I$112</c:f>
              <c:numCache>
                <c:formatCode>General</c:formatCode>
                <c:ptCount val="17"/>
                <c:pt idx="0">
                  <c:v>200</c:v>
                </c:pt>
                <c:pt idx="1">
                  <c:v>200</c:v>
                </c:pt>
                <c:pt idx="2">
                  <c:v>200</c:v>
                </c:pt>
                <c:pt idx="3">
                  <c:v>200</c:v>
                </c:pt>
                <c:pt idx="4">
                  <c:v>200</c:v>
                </c:pt>
                <c:pt idx="5">
                  <c:v>200</c:v>
                </c:pt>
                <c:pt idx="6">
                  <c:v>200</c:v>
                </c:pt>
                <c:pt idx="7">
                  <c:v>200</c:v>
                </c:pt>
                <c:pt idx="8">
                  <c:v>200</c:v>
                </c:pt>
                <c:pt idx="9">
                  <c:v>200</c:v>
                </c:pt>
                <c:pt idx="10">
                  <c:v>200</c:v>
                </c:pt>
                <c:pt idx="11">
                  <c:v>200</c:v>
                </c:pt>
                <c:pt idx="12">
                  <c:v>200</c:v>
                </c:pt>
                <c:pt idx="13">
                  <c:v>200</c:v>
                </c:pt>
                <c:pt idx="14">
                  <c:v>200</c:v>
                </c:pt>
                <c:pt idx="15">
                  <c:v>200</c:v>
                </c:pt>
                <c:pt idx="16">
                  <c:v>200</c:v>
                </c:pt>
              </c:numCache>
            </c:numRef>
          </c:yVal>
        </c:ser>
        <c:ser>
          <c:idx val="2"/>
          <c:order val="2"/>
          <c:tx>
            <c:v>SCHEDULE 3</c:v>
          </c:tx>
          <c:spPr>
            <a:ln>
              <a:solidFill>
                <a:srgbClr val="00B050"/>
              </a:solidFill>
            </a:ln>
          </c:spPr>
          <c:xVal>
            <c:numRef>
              <c:f>SITESYNC_COMMISSIONING!$L$96:$L$112</c:f>
              <c:numCache>
                <c:formatCode>General</c:formatCode>
                <c:ptCount val="17"/>
                <c:pt idx="0">
                  <c:v>0</c:v>
                </c:pt>
                <c:pt idx="1">
                  <c:v>2400</c:v>
                </c:pt>
                <c:pt idx="2">
                  <c:v>2400</c:v>
                </c:pt>
                <c:pt idx="3">
                  <c:v>2400</c:v>
                </c:pt>
                <c:pt idx="4">
                  <c:v>2400</c:v>
                </c:pt>
                <c:pt idx="5">
                  <c:v>2400</c:v>
                </c:pt>
                <c:pt idx="6">
                  <c:v>2400</c:v>
                </c:pt>
                <c:pt idx="7">
                  <c:v>2400</c:v>
                </c:pt>
                <c:pt idx="8">
                  <c:v>2400</c:v>
                </c:pt>
                <c:pt idx="9">
                  <c:v>2400</c:v>
                </c:pt>
                <c:pt idx="10">
                  <c:v>2400</c:v>
                </c:pt>
                <c:pt idx="11">
                  <c:v>2400</c:v>
                </c:pt>
                <c:pt idx="12">
                  <c:v>2400</c:v>
                </c:pt>
                <c:pt idx="13">
                  <c:v>2400</c:v>
                </c:pt>
                <c:pt idx="14">
                  <c:v>2400</c:v>
                </c:pt>
                <c:pt idx="15">
                  <c:v>2400</c:v>
                </c:pt>
                <c:pt idx="16">
                  <c:v>2400</c:v>
                </c:pt>
              </c:numCache>
            </c:numRef>
          </c:xVal>
          <c:yVal>
            <c:numRef>
              <c:f>SITESYNC_COMMISSIONING!$M$96:$M$112</c:f>
              <c:numCache>
                <c:formatCode>General</c:formatCode>
                <c:ptCount val="17"/>
                <c:pt idx="0">
                  <c:v>200</c:v>
                </c:pt>
                <c:pt idx="1">
                  <c:v>200</c:v>
                </c:pt>
                <c:pt idx="2">
                  <c:v>200</c:v>
                </c:pt>
                <c:pt idx="3">
                  <c:v>200</c:v>
                </c:pt>
                <c:pt idx="4">
                  <c:v>200</c:v>
                </c:pt>
                <c:pt idx="5">
                  <c:v>200</c:v>
                </c:pt>
                <c:pt idx="6">
                  <c:v>200</c:v>
                </c:pt>
                <c:pt idx="7">
                  <c:v>200</c:v>
                </c:pt>
                <c:pt idx="8">
                  <c:v>200</c:v>
                </c:pt>
                <c:pt idx="9">
                  <c:v>200</c:v>
                </c:pt>
                <c:pt idx="10">
                  <c:v>200</c:v>
                </c:pt>
                <c:pt idx="11">
                  <c:v>200</c:v>
                </c:pt>
                <c:pt idx="12">
                  <c:v>200</c:v>
                </c:pt>
                <c:pt idx="13">
                  <c:v>200</c:v>
                </c:pt>
                <c:pt idx="14">
                  <c:v>200</c:v>
                </c:pt>
                <c:pt idx="15">
                  <c:v>200</c:v>
                </c:pt>
                <c:pt idx="16">
                  <c:v>200</c:v>
                </c:pt>
              </c:numCache>
            </c:numRef>
          </c:yVal>
        </c:ser>
        <c:ser>
          <c:idx val="3"/>
          <c:order val="3"/>
          <c:tx>
            <c:v>SCHEDULE 4</c:v>
          </c:tx>
          <c:spPr>
            <a:ln>
              <a:solidFill>
                <a:srgbClr val="FFC000"/>
              </a:solidFill>
            </a:ln>
          </c:spPr>
          <c:xVal>
            <c:numRef>
              <c:f>SITESYNC_COMMISSIONING!$P$96:$P$112</c:f>
              <c:numCache>
                <c:formatCode>General</c:formatCode>
                <c:ptCount val="17"/>
                <c:pt idx="0">
                  <c:v>0</c:v>
                </c:pt>
                <c:pt idx="1">
                  <c:v>2400</c:v>
                </c:pt>
                <c:pt idx="2">
                  <c:v>2400</c:v>
                </c:pt>
                <c:pt idx="3">
                  <c:v>2400</c:v>
                </c:pt>
                <c:pt idx="4">
                  <c:v>2400</c:v>
                </c:pt>
                <c:pt idx="5">
                  <c:v>2400</c:v>
                </c:pt>
                <c:pt idx="6">
                  <c:v>2400</c:v>
                </c:pt>
                <c:pt idx="7">
                  <c:v>2400</c:v>
                </c:pt>
                <c:pt idx="8">
                  <c:v>2400</c:v>
                </c:pt>
                <c:pt idx="9">
                  <c:v>2400</c:v>
                </c:pt>
                <c:pt idx="10">
                  <c:v>2400</c:v>
                </c:pt>
                <c:pt idx="11">
                  <c:v>2400</c:v>
                </c:pt>
                <c:pt idx="12">
                  <c:v>2400</c:v>
                </c:pt>
                <c:pt idx="13">
                  <c:v>2400</c:v>
                </c:pt>
                <c:pt idx="14">
                  <c:v>2400</c:v>
                </c:pt>
                <c:pt idx="15">
                  <c:v>2400</c:v>
                </c:pt>
                <c:pt idx="16">
                  <c:v>2400</c:v>
                </c:pt>
              </c:numCache>
            </c:numRef>
          </c:xVal>
          <c:yVal>
            <c:numRef>
              <c:f>SITESYNC_COMMISSIONING!$Q$96:$Q$112</c:f>
              <c:numCache>
                <c:formatCode>General</c:formatCode>
                <c:ptCount val="17"/>
                <c:pt idx="0">
                  <c:v>200</c:v>
                </c:pt>
                <c:pt idx="1">
                  <c:v>200</c:v>
                </c:pt>
                <c:pt idx="2">
                  <c:v>200</c:v>
                </c:pt>
                <c:pt idx="3">
                  <c:v>200</c:v>
                </c:pt>
                <c:pt idx="4">
                  <c:v>200</c:v>
                </c:pt>
                <c:pt idx="5">
                  <c:v>200</c:v>
                </c:pt>
                <c:pt idx="6">
                  <c:v>200</c:v>
                </c:pt>
                <c:pt idx="7">
                  <c:v>200</c:v>
                </c:pt>
                <c:pt idx="8">
                  <c:v>200</c:v>
                </c:pt>
                <c:pt idx="9">
                  <c:v>200</c:v>
                </c:pt>
                <c:pt idx="10">
                  <c:v>200</c:v>
                </c:pt>
                <c:pt idx="11">
                  <c:v>200</c:v>
                </c:pt>
                <c:pt idx="12">
                  <c:v>200</c:v>
                </c:pt>
                <c:pt idx="13">
                  <c:v>200</c:v>
                </c:pt>
                <c:pt idx="14">
                  <c:v>200</c:v>
                </c:pt>
                <c:pt idx="15">
                  <c:v>200</c:v>
                </c:pt>
                <c:pt idx="16">
                  <c:v>200</c:v>
                </c:pt>
              </c:numCache>
            </c:numRef>
          </c:yVal>
        </c:ser>
        <c:ser>
          <c:idx val="4"/>
          <c:order val="4"/>
          <c:tx>
            <c:v>SCHEDULE 5</c:v>
          </c:tx>
          <c:spPr>
            <a:ln>
              <a:solidFill>
                <a:srgbClr val="00B0F0"/>
              </a:solidFill>
            </a:ln>
          </c:spPr>
          <c:xVal>
            <c:numRef>
              <c:f>SITESYNC_COMMISSIONING!$T$96:$T$112</c:f>
              <c:numCache>
                <c:formatCode>General</c:formatCode>
                <c:ptCount val="17"/>
                <c:pt idx="0">
                  <c:v>0</c:v>
                </c:pt>
                <c:pt idx="1">
                  <c:v>2400</c:v>
                </c:pt>
                <c:pt idx="2">
                  <c:v>2400</c:v>
                </c:pt>
                <c:pt idx="3">
                  <c:v>2400</c:v>
                </c:pt>
                <c:pt idx="4">
                  <c:v>2400</c:v>
                </c:pt>
                <c:pt idx="5">
                  <c:v>2400</c:v>
                </c:pt>
                <c:pt idx="6">
                  <c:v>2400</c:v>
                </c:pt>
                <c:pt idx="7">
                  <c:v>2400</c:v>
                </c:pt>
                <c:pt idx="8">
                  <c:v>2400</c:v>
                </c:pt>
                <c:pt idx="9">
                  <c:v>2400</c:v>
                </c:pt>
                <c:pt idx="10">
                  <c:v>2400</c:v>
                </c:pt>
                <c:pt idx="11">
                  <c:v>2400</c:v>
                </c:pt>
                <c:pt idx="12">
                  <c:v>2400</c:v>
                </c:pt>
                <c:pt idx="13">
                  <c:v>2400</c:v>
                </c:pt>
                <c:pt idx="14">
                  <c:v>2400</c:v>
                </c:pt>
                <c:pt idx="15">
                  <c:v>2400</c:v>
                </c:pt>
                <c:pt idx="16">
                  <c:v>2400</c:v>
                </c:pt>
              </c:numCache>
            </c:numRef>
          </c:xVal>
          <c:yVal>
            <c:numRef>
              <c:f>SITESYNC_COMMISSIONING!$U$96:$U$112</c:f>
              <c:numCache>
                <c:formatCode>General</c:formatCode>
                <c:ptCount val="17"/>
                <c:pt idx="0">
                  <c:v>200</c:v>
                </c:pt>
                <c:pt idx="1">
                  <c:v>200</c:v>
                </c:pt>
                <c:pt idx="2">
                  <c:v>200</c:v>
                </c:pt>
                <c:pt idx="3">
                  <c:v>200</c:v>
                </c:pt>
                <c:pt idx="4">
                  <c:v>200</c:v>
                </c:pt>
                <c:pt idx="5">
                  <c:v>200</c:v>
                </c:pt>
                <c:pt idx="6">
                  <c:v>200</c:v>
                </c:pt>
                <c:pt idx="7">
                  <c:v>200</c:v>
                </c:pt>
                <c:pt idx="8">
                  <c:v>200</c:v>
                </c:pt>
                <c:pt idx="9">
                  <c:v>200</c:v>
                </c:pt>
                <c:pt idx="10">
                  <c:v>200</c:v>
                </c:pt>
                <c:pt idx="11">
                  <c:v>200</c:v>
                </c:pt>
                <c:pt idx="12">
                  <c:v>200</c:v>
                </c:pt>
                <c:pt idx="13">
                  <c:v>200</c:v>
                </c:pt>
                <c:pt idx="14">
                  <c:v>200</c:v>
                </c:pt>
                <c:pt idx="15">
                  <c:v>200</c:v>
                </c:pt>
                <c:pt idx="16">
                  <c:v>200</c:v>
                </c:pt>
              </c:numCache>
            </c:numRef>
          </c:yVal>
        </c:ser>
        <c:axId val="82801024"/>
        <c:axId val="82809984"/>
      </c:scatterChart>
      <c:valAx>
        <c:axId val="82801024"/>
        <c:scaling>
          <c:orientation val="minMax"/>
          <c:max val="2400"/>
          <c:min val="0"/>
        </c:scaling>
        <c:axPos val="b"/>
        <c:majorGridlines>
          <c:spPr>
            <a:ln w="3175">
              <a:solidFill>
                <a:srgbClr val="7030A0">
                  <a:alpha val="25000"/>
                </a:srgbClr>
              </a:solidFill>
            </a:ln>
          </c:spPr>
        </c:majorGridlines>
        <c:minorGridlines>
          <c:spPr>
            <a:ln w="3175">
              <a:solidFill>
                <a:srgbClr val="7030A0">
                  <a:alpha val="25000"/>
                </a:srgbClr>
              </a:solidFill>
            </a:ln>
          </c:spPr>
        </c:minorGridlines>
        <c:title>
          <c:tx>
            <c:rich>
              <a:bodyPr/>
              <a:lstStyle/>
              <a:p>
                <a:pPr>
                  <a:defRPr/>
                </a:pPr>
                <a:r>
                  <a:rPr lang="en-US" sz="1200"/>
                  <a:t>TIME</a:t>
                </a:r>
                <a:r>
                  <a:rPr lang="en-US" sz="1200" baseline="0"/>
                  <a:t> (HHMM, 24 HOUR FORMAT)</a:t>
                </a:r>
                <a:endParaRPr lang="en-US" sz="1200"/>
              </a:p>
            </c:rich>
          </c:tx>
        </c:title>
        <c:numFmt formatCode="General" sourceLinked="0"/>
        <c:tickLblPos val="nextTo"/>
        <c:spPr>
          <a:ln w="25400">
            <a:solidFill>
              <a:schemeClr val="tx1"/>
            </a:solidFill>
          </a:ln>
          <a:effectLst>
            <a:outerShdw blurRad="50800" dist="50800" sx="1000" sy="1000" algn="ctr" rotWithShape="0">
              <a:srgbClr val="000000">
                <a:alpha val="43137"/>
              </a:srgbClr>
            </a:outerShdw>
          </a:effectLst>
        </c:spPr>
        <c:crossAx val="82809984"/>
        <c:crosses val="autoZero"/>
        <c:crossBetween val="midCat"/>
        <c:majorUnit val="200"/>
        <c:minorUnit val="100"/>
      </c:valAx>
      <c:valAx>
        <c:axId val="82809984"/>
        <c:scaling>
          <c:orientation val="minMax"/>
          <c:max val="101"/>
          <c:min val="0"/>
        </c:scaling>
        <c:axPos val="l"/>
        <c:majorGridlines>
          <c:spPr>
            <a:ln w="3175">
              <a:solidFill>
                <a:srgbClr val="7030A0">
                  <a:alpha val="25000"/>
                </a:srgbClr>
              </a:solidFill>
            </a:ln>
          </c:spPr>
        </c:majorGridlines>
        <c:title>
          <c:tx>
            <c:rich>
              <a:bodyPr rot="0" vert="wordArtVert"/>
              <a:lstStyle/>
              <a:p>
                <a:pPr>
                  <a:defRPr/>
                </a:pPr>
                <a:r>
                  <a:rPr lang="en-US" sz="1200"/>
                  <a:t>PERCENT</a:t>
                </a:r>
                <a:r>
                  <a:rPr lang="en-US" sz="1200" baseline="0"/>
                  <a:t> BRIGHTNESS</a:t>
                </a:r>
                <a:endParaRPr lang="en-US" sz="1200"/>
              </a:p>
            </c:rich>
          </c:tx>
        </c:title>
        <c:numFmt formatCode="#,##0;\-#,##0" sourceLinked="0"/>
        <c:tickLblPos val="nextTo"/>
        <c:spPr>
          <a:ln w="25400">
            <a:solidFill>
              <a:schemeClr val="tx1"/>
            </a:solidFill>
          </a:ln>
        </c:spPr>
        <c:crossAx val="82801024"/>
        <c:crosses val="autoZero"/>
        <c:crossBetween val="midCat"/>
        <c:majorUnit val="10"/>
        <c:minorUnit val="4"/>
      </c:valAx>
    </c:plotArea>
    <c:legend>
      <c:legendPos val="b"/>
      <c:layout>
        <c:manualLayout>
          <c:xMode val="edge"/>
          <c:yMode val="edge"/>
          <c:x val="9.0919168956670265E-2"/>
          <c:y val="0.92082007607613603"/>
          <c:w val="0.8648970395714477"/>
          <c:h val="3.0005812937857052E-2"/>
        </c:manualLayout>
      </c:layout>
      <c:spPr>
        <a:solidFill>
          <a:schemeClr val="bg1"/>
        </a:solidFill>
        <a:ln w="25400">
          <a:solidFill>
            <a:schemeClr val="tx1"/>
          </a:solidFill>
        </a:ln>
      </c:spPr>
    </c:legend>
    <c:plotVisOnly val="1"/>
  </c:chart>
  <c:printSettings>
    <c:headerFooter/>
    <c:pageMargins b="0.75000000000001155" l="0.70000000000000062" r="0.70000000000000062" t="0.75000000000001155"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33617</xdr:colOff>
      <xdr:row>78</xdr:row>
      <xdr:rowOff>56032</xdr:rowOff>
    </xdr:from>
    <xdr:to>
      <xdr:col>20</xdr:col>
      <xdr:colOff>638733</xdr:colOff>
      <xdr:row>118</xdr:row>
      <xdr:rowOff>89649</xdr:rowOff>
    </xdr:to>
    <xdr:graphicFrame macro="">
      <xdr:nvGraphicFramePr>
        <xdr:cNvPr id="14" name="SCHEDULE PLO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33619</xdr:colOff>
      <xdr:row>0</xdr:row>
      <xdr:rowOff>0</xdr:rowOff>
    </xdr:from>
    <xdr:to>
      <xdr:col>20</xdr:col>
      <xdr:colOff>573800</xdr:colOff>
      <xdr:row>9</xdr:row>
      <xdr:rowOff>36383</xdr:rowOff>
    </xdr:to>
    <xdr:pic>
      <xdr:nvPicPr>
        <xdr:cNvPr id="4" name="Picture 3"/>
        <xdr:cNvPicPr>
          <a:picLocks noChangeAspect="1"/>
        </xdr:cNvPicPr>
      </xdr:nvPicPr>
      <xdr:blipFill>
        <a:blip xmlns:r="http://schemas.openxmlformats.org/officeDocument/2006/relationships" r:embed="rId2" cstate="print"/>
        <a:stretch>
          <a:fillRect/>
        </a:stretch>
      </xdr:blipFill>
      <xdr:spPr>
        <a:xfrm>
          <a:off x="6779560" y="0"/>
          <a:ext cx="3532152" cy="1762089"/>
        </a:xfrm>
        <a:prstGeom prst="rect">
          <a:avLst/>
        </a:prstGeom>
      </xdr:spPr>
    </xdr:pic>
    <xdr:clientData/>
  </xdr:twoCellAnchor>
  <xdr:twoCellAnchor editAs="oneCell">
    <xdr:from>
      <xdr:col>0</xdr:col>
      <xdr:colOff>347383</xdr:colOff>
      <xdr:row>2</xdr:row>
      <xdr:rowOff>44824</xdr:rowOff>
    </xdr:from>
    <xdr:to>
      <xdr:col>10</xdr:col>
      <xdr:colOff>473739</xdr:colOff>
      <xdr:row>7</xdr:row>
      <xdr:rowOff>0</xdr:rowOff>
    </xdr:to>
    <xdr:pic>
      <xdr:nvPicPr>
        <xdr:cNvPr id="5" name="Picture 4"/>
        <xdr:cNvPicPr>
          <a:picLocks noChangeAspect="1"/>
        </xdr:cNvPicPr>
      </xdr:nvPicPr>
      <xdr:blipFill>
        <a:blip xmlns:r="http://schemas.openxmlformats.org/officeDocument/2006/relationships" r:embed="rId3" cstate="print"/>
        <a:stretch>
          <a:fillRect/>
        </a:stretch>
      </xdr:blipFill>
      <xdr:spPr>
        <a:xfrm>
          <a:off x="347383" y="437030"/>
          <a:ext cx="4944885" cy="907676"/>
        </a:xfrm>
        <a:prstGeom prst="rect">
          <a:avLst/>
        </a:prstGeom>
      </xdr:spPr>
    </xdr:pic>
    <xdr:clientData/>
  </xdr:twoCellAnchor>
  <xdr:twoCellAnchor editAs="oneCell">
    <xdr:from>
      <xdr:col>0</xdr:col>
      <xdr:colOff>0</xdr:colOff>
      <xdr:row>120</xdr:row>
      <xdr:rowOff>179294</xdr:rowOff>
    </xdr:from>
    <xdr:to>
      <xdr:col>6</xdr:col>
      <xdr:colOff>344427</xdr:colOff>
      <xdr:row>124</xdr:row>
      <xdr:rowOff>11206</xdr:rowOff>
    </xdr:to>
    <xdr:pic>
      <xdr:nvPicPr>
        <xdr:cNvPr id="6" name="Picture 5"/>
        <xdr:cNvPicPr>
          <a:picLocks noChangeAspect="1"/>
        </xdr:cNvPicPr>
      </xdr:nvPicPr>
      <xdr:blipFill>
        <a:blip xmlns:r="http://schemas.openxmlformats.org/officeDocument/2006/relationships" r:embed="rId3" cstate="print"/>
        <a:stretch>
          <a:fillRect/>
        </a:stretch>
      </xdr:blipFill>
      <xdr:spPr>
        <a:xfrm>
          <a:off x="0" y="23622000"/>
          <a:ext cx="3235545" cy="59391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pageSetUpPr fitToPage="1"/>
  </sheetPr>
  <dimension ref="A1:AE149"/>
  <sheetViews>
    <sheetView tabSelected="1" topLeftCell="A10" zoomScale="85" zoomScaleNormal="85" workbookViewId="0">
      <selection activeCell="D18" sqref="D18:M18"/>
    </sheetView>
  </sheetViews>
  <sheetFormatPr defaultRowHeight="15"/>
  <cols>
    <col min="1" max="14" width="7.28515625" customWidth="1"/>
    <col min="15" max="15" width="7.28515625" style="2" customWidth="1"/>
    <col min="16" max="16" width="7.28515625" customWidth="1"/>
    <col min="17" max="17" width="7.28515625" style="1" customWidth="1"/>
    <col min="18" max="18" width="7.28515625" customWidth="1"/>
    <col min="19" max="19" width="8.7109375" style="2" customWidth="1"/>
    <col min="20" max="20" width="7.28515625" customWidth="1"/>
    <col min="21" max="22" width="10.7109375" customWidth="1"/>
  </cols>
  <sheetData>
    <row r="1" spans="1:25" ht="15.75">
      <c r="A1" s="40" t="s">
        <v>4</v>
      </c>
      <c r="B1" s="40"/>
      <c r="C1" s="40" t="s">
        <v>79</v>
      </c>
      <c r="D1" s="40"/>
      <c r="E1" s="40"/>
      <c r="F1" s="40"/>
      <c r="G1" s="40"/>
      <c r="H1" s="41" t="s">
        <v>92</v>
      </c>
      <c r="I1" s="40"/>
      <c r="J1" s="82" t="s">
        <v>99</v>
      </c>
      <c r="K1" s="40"/>
      <c r="L1" s="40" t="s">
        <v>79</v>
      </c>
      <c r="M1" s="40" t="s">
        <v>99</v>
      </c>
      <c r="N1" s="40"/>
      <c r="O1" s="42"/>
      <c r="P1" s="43"/>
      <c r="Q1" s="43"/>
      <c r="R1" s="43"/>
      <c r="S1" s="43"/>
      <c r="T1" s="43"/>
      <c r="U1" s="40"/>
      <c r="V1" s="40"/>
      <c r="W1" s="40"/>
      <c r="X1" s="40"/>
      <c r="Y1" s="40"/>
    </row>
    <row r="2" spans="1:25">
      <c r="A2" s="40" t="s">
        <v>2</v>
      </c>
      <c r="B2" s="40"/>
      <c r="C2" s="40" t="s">
        <v>48</v>
      </c>
      <c r="D2" s="40"/>
      <c r="E2" s="40"/>
      <c r="F2" s="40"/>
      <c r="G2" s="40"/>
      <c r="H2" s="41" t="s">
        <v>87</v>
      </c>
      <c r="I2" s="40"/>
      <c r="J2" s="40" t="s">
        <v>101</v>
      </c>
      <c r="K2" s="40"/>
      <c r="L2" s="40" t="s">
        <v>44</v>
      </c>
      <c r="M2" s="40" t="s">
        <v>100</v>
      </c>
      <c r="N2" s="40"/>
      <c r="O2" s="42"/>
      <c r="P2" s="44"/>
      <c r="Q2" s="45"/>
      <c r="R2" s="45"/>
      <c r="S2" s="45"/>
      <c r="T2" s="45"/>
      <c r="U2" s="40"/>
      <c r="V2" s="40"/>
      <c r="W2" s="40"/>
      <c r="X2" s="40"/>
      <c r="Y2" s="40"/>
    </row>
    <row r="3" spans="1:25">
      <c r="A3" s="40" t="s">
        <v>3</v>
      </c>
      <c r="B3" s="40"/>
      <c r="C3" s="40" t="s">
        <v>53</v>
      </c>
      <c r="D3" s="40"/>
      <c r="E3" s="40"/>
      <c r="F3" s="40"/>
      <c r="G3" s="40"/>
      <c r="H3" s="41" t="s">
        <v>88</v>
      </c>
      <c r="I3" s="40"/>
      <c r="J3" s="40" t="s">
        <v>102</v>
      </c>
      <c r="K3" s="40"/>
      <c r="L3" s="40" t="s">
        <v>45</v>
      </c>
      <c r="M3" s="40"/>
      <c r="N3" s="40"/>
      <c r="O3" s="42"/>
      <c r="P3" s="44"/>
      <c r="Q3" s="45"/>
      <c r="R3" s="45"/>
      <c r="S3" s="45"/>
      <c r="T3" s="45"/>
      <c r="U3" s="40"/>
      <c r="V3" s="40"/>
      <c r="W3" s="40"/>
      <c r="X3" s="40"/>
      <c r="Y3" s="40"/>
    </row>
    <row r="4" spans="1:25">
      <c r="A4" s="40" t="s">
        <v>5</v>
      </c>
      <c r="B4" s="40"/>
      <c r="C4" s="51"/>
      <c r="D4" s="40"/>
      <c r="E4" s="40"/>
      <c r="F4" s="40"/>
      <c r="G4" s="40"/>
      <c r="H4" s="41" t="s">
        <v>89</v>
      </c>
      <c r="I4" s="40"/>
      <c r="J4" s="40" t="s">
        <v>9</v>
      </c>
      <c r="K4" s="40"/>
      <c r="L4" s="40" t="s">
        <v>79</v>
      </c>
      <c r="M4" s="40"/>
      <c r="N4" s="40"/>
      <c r="O4" s="42"/>
      <c r="P4" s="44"/>
      <c r="Q4" s="46"/>
      <c r="R4" s="46"/>
      <c r="S4" s="46"/>
      <c r="T4" s="46"/>
      <c r="U4" s="40"/>
      <c r="V4" s="40"/>
      <c r="W4" s="40"/>
      <c r="X4" s="40"/>
      <c r="Y4" s="40"/>
    </row>
    <row r="5" spans="1:25">
      <c r="A5" s="40" t="s">
        <v>6</v>
      </c>
      <c r="B5" s="40"/>
      <c r="C5" s="40" t="s">
        <v>70</v>
      </c>
      <c r="D5" s="40"/>
      <c r="E5" s="40"/>
      <c r="F5" s="40"/>
      <c r="G5" s="40"/>
      <c r="H5" s="41" t="s">
        <v>90</v>
      </c>
      <c r="I5" s="40"/>
      <c r="J5" s="40"/>
      <c r="K5" s="40"/>
      <c r="L5" s="40" t="s">
        <v>46</v>
      </c>
      <c r="M5" s="40"/>
      <c r="N5" s="40"/>
      <c r="O5" s="42"/>
      <c r="P5" s="44"/>
      <c r="Q5" s="46"/>
      <c r="R5" s="46"/>
      <c r="S5" s="46"/>
      <c r="T5" s="46"/>
      <c r="U5" s="40"/>
      <c r="V5" s="40"/>
      <c r="W5" s="40"/>
      <c r="X5" s="40"/>
      <c r="Y5" s="40"/>
    </row>
    <row r="6" spans="1:25">
      <c r="A6" s="40" t="s">
        <v>7</v>
      </c>
      <c r="B6" s="40"/>
      <c r="C6" s="40" t="s">
        <v>71</v>
      </c>
      <c r="D6" s="40"/>
      <c r="E6" s="40"/>
      <c r="F6" s="40"/>
      <c r="G6" s="40"/>
      <c r="H6" s="41" t="s">
        <v>91</v>
      </c>
      <c r="I6" s="40"/>
      <c r="J6" s="40"/>
      <c r="K6" s="40"/>
      <c r="L6" s="40" t="s">
        <v>47</v>
      </c>
      <c r="M6" s="40"/>
      <c r="N6" s="40"/>
      <c r="O6" s="42"/>
      <c r="P6" s="44"/>
      <c r="Q6" s="46"/>
      <c r="R6" s="46"/>
      <c r="S6" s="46"/>
      <c r="T6" s="46"/>
      <c r="U6" s="40"/>
      <c r="V6" s="40"/>
      <c r="W6" s="40"/>
      <c r="X6" s="40"/>
      <c r="Y6" s="40"/>
    </row>
    <row r="7" spans="1:25">
      <c r="A7" s="82"/>
      <c r="B7" s="40"/>
      <c r="C7" s="40"/>
      <c r="D7" s="40"/>
      <c r="E7" s="40"/>
      <c r="F7" s="40"/>
      <c r="G7" s="40"/>
      <c r="H7" s="40"/>
      <c r="I7" s="40"/>
      <c r="J7" s="40"/>
      <c r="K7" s="40"/>
      <c r="L7" s="40" t="s">
        <v>54</v>
      </c>
      <c r="M7" s="40"/>
      <c r="N7" s="40"/>
      <c r="O7" s="42"/>
      <c r="P7" s="44"/>
      <c r="Q7" s="46"/>
      <c r="R7" s="46"/>
      <c r="S7" s="46"/>
      <c r="T7" s="46"/>
      <c r="U7" s="40"/>
      <c r="V7" s="40"/>
      <c r="W7" s="40"/>
      <c r="X7" s="40"/>
      <c r="Y7" s="40"/>
    </row>
    <row r="8" spans="1:25" ht="15" customHeight="1">
      <c r="A8" s="40"/>
      <c r="B8" s="40"/>
      <c r="C8" s="40"/>
      <c r="D8" s="40"/>
      <c r="E8" s="40"/>
      <c r="F8" s="40"/>
      <c r="G8" s="40"/>
      <c r="H8" s="40"/>
      <c r="I8" s="40"/>
      <c r="J8" s="40"/>
      <c r="K8" s="40"/>
      <c r="L8" s="40"/>
      <c r="M8" s="40"/>
      <c r="N8" s="40"/>
      <c r="O8" s="47"/>
      <c r="P8" s="40"/>
      <c r="Q8" s="48"/>
      <c r="R8" s="40"/>
      <c r="S8" s="47"/>
      <c r="T8" s="40"/>
      <c r="U8" s="40"/>
      <c r="V8" s="40"/>
      <c r="W8" s="40"/>
      <c r="X8" s="40"/>
      <c r="Y8" s="40"/>
    </row>
    <row r="9" spans="1:25" ht="15" customHeight="1">
      <c r="A9" s="41" t="s">
        <v>12</v>
      </c>
      <c r="B9" s="41" t="s">
        <v>13</v>
      </c>
      <c r="C9" s="41" t="s">
        <v>14</v>
      </c>
      <c r="D9" s="41" t="s">
        <v>15</v>
      </c>
      <c r="E9" s="41" t="s">
        <v>16</v>
      </c>
      <c r="F9" s="41" t="s">
        <v>17</v>
      </c>
      <c r="G9" s="41" t="s">
        <v>18</v>
      </c>
      <c r="H9" s="41" t="s">
        <v>19</v>
      </c>
      <c r="I9" s="41" t="s">
        <v>20</v>
      </c>
      <c r="J9" s="41" t="s">
        <v>21</v>
      </c>
      <c r="K9" s="41" t="s">
        <v>26</v>
      </c>
      <c r="L9" s="41" t="s">
        <v>27</v>
      </c>
      <c r="M9" s="41" t="s">
        <v>51</v>
      </c>
      <c r="N9" s="41" t="s">
        <v>28</v>
      </c>
      <c r="O9" s="49" t="s">
        <v>29</v>
      </c>
      <c r="P9" s="49" t="s">
        <v>30</v>
      </c>
      <c r="Q9" s="48"/>
      <c r="R9" s="40"/>
      <c r="S9" s="47"/>
      <c r="T9" s="40"/>
      <c r="U9" s="40"/>
      <c r="V9" s="40"/>
      <c r="W9" s="40"/>
      <c r="X9" s="40"/>
      <c r="Y9" s="40"/>
    </row>
    <row r="10" spans="1:25" ht="30" customHeight="1">
      <c r="A10" s="145" t="s">
        <v>107</v>
      </c>
      <c r="B10" s="145"/>
      <c r="C10" s="145"/>
      <c r="D10" s="145"/>
      <c r="E10" s="145"/>
      <c r="F10" s="145"/>
      <c r="G10" s="145"/>
      <c r="H10" s="145"/>
      <c r="I10" s="145"/>
      <c r="J10" s="145"/>
      <c r="K10" s="145"/>
      <c r="L10" s="145"/>
      <c r="M10" s="145"/>
      <c r="N10" s="145"/>
      <c r="O10" s="145"/>
      <c r="P10" s="145"/>
      <c r="Q10" s="145"/>
      <c r="R10" s="145"/>
      <c r="S10" s="145"/>
      <c r="T10" s="145"/>
      <c r="U10" s="145"/>
      <c r="V10" s="40"/>
      <c r="W10" s="40"/>
      <c r="X10" s="40"/>
      <c r="Y10" s="40"/>
    </row>
    <row r="11" spans="1:25" ht="30" customHeight="1">
      <c r="A11" s="144" t="s">
        <v>98</v>
      </c>
      <c r="B11" s="144"/>
      <c r="C11" s="144"/>
      <c r="D11" s="144"/>
      <c r="E11" s="144"/>
      <c r="F11" s="144"/>
      <c r="G11" s="144"/>
      <c r="H11" s="144"/>
      <c r="I11" s="144"/>
      <c r="J11" s="144"/>
      <c r="K11" s="144"/>
      <c r="L11" s="144"/>
      <c r="M11" s="144"/>
      <c r="N11" s="144"/>
      <c r="O11" s="144"/>
      <c r="P11" s="144"/>
      <c r="Q11" s="144"/>
      <c r="R11" s="144"/>
      <c r="S11" s="144"/>
      <c r="T11" s="144"/>
      <c r="U11" s="144"/>
      <c r="V11" s="40"/>
      <c r="W11" s="40"/>
      <c r="X11" s="40"/>
      <c r="Y11" s="40"/>
    </row>
    <row r="12" spans="1:25" ht="15" customHeight="1">
      <c r="A12" s="52"/>
      <c r="B12" s="52"/>
      <c r="C12" s="52"/>
      <c r="D12" s="52"/>
      <c r="E12" s="52"/>
      <c r="F12" s="52"/>
      <c r="G12" s="52"/>
      <c r="H12" s="52"/>
      <c r="I12" s="52"/>
      <c r="J12" s="52"/>
      <c r="K12" s="52"/>
      <c r="L12" s="52"/>
      <c r="M12" s="52"/>
      <c r="N12" s="52"/>
      <c r="O12" s="52"/>
      <c r="P12" s="52"/>
      <c r="Q12" s="52"/>
      <c r="R12" s="52"/>
      <c r="S12" s="52"/>
      <c r="T12" s="52"/>
      <c r="U12" s="52"/>
      <c r="V12" s="40"/>
      <c r="X12" s="83"/>
      <c r="Y12" s="40"/>
    </row>
    <row r="13" spans="1:25" ht="30" customHeight="1">
      <c r="A13" s="146" t="str">
        <f>IF(O16,"Worksheet is complete.  Please save as an EXCEL FILE and return to Beacon Products.","ATTENTION: Worksheet is NOT COMPLETE!  Please complete the sections indicated in red.")</f>
        <v>ATTENTION: Worksheet is NOT COMPLETE!  Please complete the sections indicated in red.</v>
      </c>
      <c r="B13" s="146"/>
      <c r="C13" s="146"/>
      <c r="D13" s="146"/>
      <c r="E13" s="146"/>
      <c r="F13" s="146"/>
      <c r="G13" s="146"/>
      <c r="H13" s="146"/>
      <c r="I13" s="146"/>
      <c r="J13" s="146"/>
      <c r="K13" s="146"/>
      <c r="L13" s="146"/>
      <c r="M13" s="146"/>
      <c r="N13" s="146"/>
      <c r="O13" s="146"/>
      <c r="P13" s="146"/>
      <c r="Q13" s="146"/>
      <c r="R13" s="146"/>
      <c r="S13" s="146"/>
      <c r="T13" s="146"/>
      <c r="U13" s="146"/>
      <c r="V13" s="40"/>
      <c r="W13" s="40"/>
      <c r="X13" s="40"/>
      <c r="Y13" s="40"/>
    </row>
    <row r="14" spans="1:25" ht="30" customHeight="1">
      <c r="A14" s="147" t="str">
        <f>IF(W14=1,"ATTENTION: Your control strategy includes motion zone control.  Attach supplementary info. or contact Tech Support to fully define.","")</f>
        <v/>
      </c>
      <c r="B14" s="147"/>
      <c r="C14" s="147"/>
      <c r="D14" s="147"/>
      <c r="E14" s="147"/>
      <c r="F14" s="147"/>
      <c r="G14" s="147"/>
      <c r="H14" s="147"/>
      <c r="I14" s="147"/>
      <c r="J14" s="147"/>
      <c r="K14" s="147"/>
      <c r="L14" s="147"/>
      <c r="M14" s="147"/>
      <c r="N14" s="147"/>
      <c r="O14" s="147"/>
      <c r="P14" s="147"/>
      <c r="Q14" s="147"/>
      <c r="R14" s="147"/>
      <c r="S14" s="147"/>
      <c r="T14" s="147"/>
      <c r="U14" s="147"/>
      <c r="V14" s="40"/>
      <c r="W14" s="40">
        <f>IF(SUM(W42:W62)&gt;0,1,0)</f>
        <v>0</v>
      </c>
      <c r="X14" s="40"/>
      <c r="Y14" s="40"/>
    </row>
    <row r="15" spans="1:25" ht="15" customHeight="1" thickBot="1">
      <c r="A15" s="53" t="s">
        <v>34</v>
      </c>
      <c r="B15" s="53"/>
      <c r="C15" s="53"/>
      <c r="D15" s="53"/>
      <c r="E15" s="53"/>
      <c r="F15" s="53"/>
      <c r="G15" s="148" t="str">
        <f>IF(AND(N16="OK",N17="OK",N18="OK",N19="OK",N20="OK"),"SECTION COMPLETE","This section is NOT COMPLETE.  Please fill in all fields.")</f>
        <v>This section is NOT COMPLETE.  Please fill in all fields.</v>
      </c>
      <c r="H15" s="148"/>
      <c r="I15" s="148"/>
      <c r="J15" s="148"/>
      <c r="K15" s="148"/>
      <c r="L15" s="148"/>
      <c r="M15" s="148"/>
      <c r="N15" s="148"/>
      <c r="O15" s="54"/>
      <c r="P15" s="159" t="s">
        <v>68</v>
      </c>
      <c r="Q15" s="159"/>
      <c r="R15" s="159"/>
      <c r="S15" s="159"/>
      <c r="T15" s="159"/>
      <c r="U15" s="159"/>
      <c r="V15" s="40"/>
      <c r="W15" s="40"/>
      <c r="X15" s="40"/>
      <c r="Y15" s="40"/>
    </row>
    <row r="16" spans="1:25" ht="15" customHeight="1">
      <c r="A16" s="102" t="s">
        <v>0</v>
      </c>
      <c r="B16" s="103"/>
      <c r="C16" s="104"/>
      <c r="D16" s="125"/>
      <c r="E16" s="126"/>
      <c r="F16" s="126"/>
      <c r="G16" s="126"/>
      <c r="H16" s="126"/>
      <c r="I16" s="126"/>
      <c r="J16" s="126"/>
      <c r="K16" s="126"/>
      <c r="L16" s="126"/>
      <c r="M16" s="126"/>
      <c r="N16" s="15" t="str">
        <f>IF(D16="","X","OK")</f>
        <v>X</v>
      </c>
      <c r="O16" s="47" t="b">
        <f>AND(G15="SECTION COMPLETE",H23="SECTION COMPLETE",OR(NOT(O25),AND(L38="SECTION COMPLETE",L65="SECTION COMPLETE")))</f>
        <v>0</v>
      </c>
      <c r="P16" s="125"/>
      <c r="Q16" s="160"/>
      <c r="R16" s="160"/>
      <c r="S16" s="160"/>
      <c r="T16" s="160"/>
      <c r="U16" s="161"/>
      <c r="V16" s="40"/>
      <c r="W16" s="40"/>
      <c r="X16" s="40"/>
      <c r="Y16" s="40"/>
    </row>
    <row r="17" spans="1:31" ht="15" customHeight="1">
      <c r="A17" s="105" t="s">
        <v>35</v>
      </c>
      <c r="B17" s="106"/>
      <c r="C17" s="107"/>
      <c r="D17" s="116"/>
      <c r="E17" s="117"/>
      <c r="F17" s="117"/>
      <c r="G17" s="117"/>
      <c r="H17" s="117"/>
      <c r="I17" s="117"/>
      <c r="J17" s="117"/>
      <c r="K17" s="117"/>
      <c r="L17" s="117"/>
      <c r="M17" s="117"/>
      <c r="N17" s="16" t="str">
        <f t="shared" ref="N17:N20" si="0">IF(D17="","X","OK")</f>
        <v>X</v>
      </c>
      <c r="O17" s="47" t="b">
        <f>IF(O18=1,TRUE,O16)</f>
        <v>0</v>
      </c>
      <c r="P17" s="116"/>
      <c r="Q17" s="120"/>
      <c r="R17" s="120"/>
      <c r="S17" s="120"/>
      <c r="T17" s="120"/>
      <c r="U17" s="121"/>
      <c r="V17" s="40"/>
      <c r="W17" s="40"/>
      <c r="X17" s="40"/>
      <c r="Y17" s="40"/>
    </row>
    <row r="18" spans="1:31" ht="15" customHeight="1">
      <c r="A18" s="105" t="s">
        <v>11</v>
      </c>
      <c r="B18" s="106"/>
      <c r="C18" s="107"/>
      <c r="D18" s="116"/>
      <c r="E18" s="117"/>
      <c r="F18" s="117"/>
      <c r="G18" s="117"/>
      <c r="H18" s="117"/>
      <c r="I18" s="117"/>
      <c r="J18" s="117"/>
      <c r="K18" s="117"/>
      <c r="L18" s="117"/>
      <c r="M18" s="117"/>
      <c r="N18" s="16" t="str">
        <f t="shared" si="0"/>
        <v>X</v>
      </c>
      <c r="O18" s="73"/>
      <c r="P18" s="116"/>
      <c r="Q18" s="120"/>
      <c r="R18" s="120"/>
      <c r="S18" s="120"/>
      <c r="T18" s="120"/>
      <c r="U18" s="121"/>
      <c r="V18" s="40"/>
      <c r="W18" s="40"/>
      <c r="X18" s="40"/>
      <c r="Y18" s="40"/>
    </row>
    <row r="19" spans="1:31" ht="15" customHeight="1">
      <c r="A19" s="105" t="s">
        <v>36</v>
      </c>
      <c r="B19" s="106"/>
      <c r="C19" s="107"/>
      <c r="D19" s="116"/>
      <c r="E19" s="117"/>
      <c r="F19" s="117"/>
      <c r="G19" s="117"/>
      <c r="H19" s="117"/>
      <c r="I19" s="117"/>
      <c r="J19" s="117"/>
      <c r="K19" s="117"/>
      <c r="L19" s="117"/>
      <c r="M19" s="117"/>
      <c r="N19" s="16" t="str">
        <f t="shared" si="0"/>
        <v>X</v>
      </c>
      <c r="O19" s="38"/>
      <c r="P19" s="116"/>
      <c r="Q19" s="120"/>
      <c r="R19" s="120"/>
      <c r="S19" s="120"/>
      <c r="T19" s="120"/>
      <c r="U19" s="121"/>
      <c r="V19" s="40"/>
      <c r="W19" s="40"/>
      <c r="X19" s="40"/>
      <c r="Y19" s="40"/>
    </row>
    <row r="20" spans="1:31" ht="15" customHeight="1" thickBot="1">
      <c r="A20" s="108" t="s">
        <v>37</v>
      </c>
      <c r="B20" s="109"/>
      <c r="C20" s="110"/>
      <c r="D20" s="118"/>
      <c r="E20" s="119"/>
      <c r="F20" s="119"/>
      <c r="G20" s="119"/>
      <c r="H20" s="119"/>
      <c r="I20" s="119"/>
      <c r="J20" s="119"/>
      <c r="K20" s="119"/>
      <c r="L20" s="119"/>
      <c r="M20" s="119"/>
      <c r="N20" s="17" t="str">
        <f t="shared" si="0"/>
        <v>X</v>
      </c>
      <c r="O20" s="38"/>
      <c r="P20" s="116"/>
      <c r="Q20" s="120"/>
      <c r="R20" s="120"/>
      <c r="S20" s="120"/>
      <c r="T20" s="120"/>
      <c r="U20" s="121"/>
      <c r="V20" s="40"/>
      <c r="W20" s="40"/>
      <c r="X20" s="40"/>
      <c r="Y20" s="40"/>
    </row>
    <row r="21" spans="1:31" ht="15" customHeight="1">
      <c r="A21" s="50"/>
      <c r="B21" s="50"/>
      <c r="C21" s="50"/>
      <c r="D21" s="36"/>
      <c r="E21" s="36"/>
      <c r="F21" s="36"/>
      <c r="G21" s="36"/>
      <c r="H21" s="36"/>
      <c r="I21" s="36"/>
      <c r="J21" s="36"/>
      <c r="K21" s="50"/>
      <c r="L21" s="36"/>
      <c r="M21" s="36"/>
      <c r="N21" s="36"/>
      <c r="O21" s="38"/>
      <c r="P21" s="116"/>
      <c r="Q21" s="120"/>
      <c r="R21" s="120"/>
      <c r="S21" s="120"/>
      <c r="T21" s="120"/>
      <c r="U21" s="121"/>
      <c r="V21" s="40"/>
      <c r="W21" s="40"/>
      <c r="X21" s="40"/>
      <c r="Y21" s="40"/>
    </row>
    <row r="22" spans="1:31" ht="15" customHeight="1">
      <c r="A22" s="50"/>
      <c r="B22" s="50"/>
      <c r="C22" s="50"/>
      <c r="D22" s="36"/>
      <c r="E22" s="36"/>
      <c r="F22" s="36"/>
      <c r="G22" s="36"/>
      <c r="H22" s="36"/>
      <c r="I22" s="36"/>
      <c r="J22" s="36"/>
      <c r="K22" s="50"/>
      <c r="L22" s="36"/>
      <c r="M22" s="36"/>
      <c r="N22" s="36"/>
      <c r="O22" s="38"/>
      <c r="P22" s="116"/>
      <c r="Q22" s="120"/>
      <c r="R22" s="120"/>
      <c r="S22" s="120"/>
      <c r="T22" s="120"/>
      <c r="U22" s="121"/>
      <c r="V22" s="40"/>
      <c r="W22" s="40"/>
      <c r="X22" s="40"/>
      <c r="Y22" s="40"/>
    </row>
    <row r="23" spans="1:31" ht="15" customHeight="1" thickBot="1">
      <c r="A23" s="14" t="s">
        <v>65</v>
      </c>
      <c r="B23" s="13"/>
      <c r="C23" s="13"/>
      <c r="D23" s="18"/>
      <c r="E23" s="18"/>
      <c r="F23" s="18"/>
      <c r="G23" s="18"/>
      <c r="H23" s="115" t="str">
        <f>IF(AND(N24="OK",N25="OK",N26="OK",N29="OK",N30="OK",N31="OK",N33="OK",N34="OK",N35="OK"),"SECTION COMPLETE","Section is NOT COMPLETE. Please fill in all fields.")</f>
        <v>Section is NOT COMPLETE. Please fill in all fields.</v>
      </c>
      <c r="I23" s="115"/>
      <c r="J23" s="115"/>
      <c r="K23" s="115"/>
      <c r="L23" s="115"/>
      <c r="M23" s="115"/>
      <c r="N23" s="115"/>
      <c r="O23" s="38"/>
      <c r="P23" s="116"/>
      <c r="Q23" s="120"/>
      <c r="R23" s="120"/>
      <c r="S23" s="120"/>
      <c r="T23" s="120"/>
      <c r="U23" s="121"/>
      <c r="V23" s="40"/>
      <c r="W23" s="40"/>
      <c r="X23" s="40"/>
      <c r="Y23" s="40"/>
    </row>
    <row r="24" spans="1:31" ht="15" customHeight="1">
      <c r="A24" s="102" t="s">
        <v>38</v>
      </c>
      <c r="B24" s="103"/>
      <c r="C24" s="103"/>
      <c r="D24" s="104"/>
      <c r="E24" s="149" t="s">
        <v>79</v>
      </c>
      <c r="F24" s="126"/>
      <c r="G24" s="126"/>
      <c r="H24" s="126"/>
      <c r="I24" s="126"/>
      <c r="J24" s="126"/>
      <c r="K24" s="126"/>
      <c r="L24" s="126"/>
      <c r="M24" s="126"/>
      <c r="N24" s="15" t="str">
        <f>IF(E24="Click this cell and select an option from the drop down box.","X","OK")</f>
        <v>X</v>
      </c>
      <c r="O24" s="38"/>
      <c r="P24" s="116"/>
      <c r="Q24" s="120"/>
      <c r="R24" s="120"/>
      <c r="S24" s="120"/>
      <c r="T24" s="120"/>
      <c r="U24" s="121"/>
      <c r="V24" s="40"/>
      <c r="W24" s="40"/>
      <c r="X24" s="40"/>
      <c r="Y24" s="40"/>
    </row>
    <row r="25" spans="1:31" ht="15" customHeight="1">
      <c r="A25" s="105" t="s">
        <v>39</v>
      </c>
      <c r="B25" s="106"/>
      <c r="C25" s="106"/>
      <c r="D25" s="107"/>
      <c r="E25" s="150" t="s">
        <v>79</v>
      </c>
      <c r="F25" s="117"/>
      <c r="G25" s="117"/>
      <c r="H25" s="117"/>
      <c r="I25" s="117"/>
      <c r="J25" s="117"/>
      <c r="K25" s="117"/>
      <c r="L25" s="117"/>
      <c r="M25" s="117"/>
      <c r="N25" s="16" t="str">
        <f>IF(E25="Click this cell and select an option from the drop down box.","X","OK")</f>
        <v>X</v>
      </c>
      <c r="O25" s="40" t="b">
        <f>OR(E25="Click this cell and select an option from the drop down box.",E25="Factory commission per this worksheet.")</f>
        <v>1</v>
      </c>
      <c r="P25" s="116"/>
      <c r="Q25" s="120"/>
      <c r="R25" s="120"/>
      <c r="S25" s="120"/>
      <c r="T25" s="120"/>
      <c r="U25" s="121"/>
      <c r="V25" s="40"/>
      <c r="W25" s="40"/>
      <c r="X25" s="40"/>
      <c r="Y25" s="40"/>
    </row>
    <row r="26" spans="1:31" ht="15" customHeight="1" thickBot="1">
      <c r="A26" s="105" t="s">
        <v>103</v>
      </c>
      <c r="B26" s="106"/>
      <c r="C26" s="106"/>
      <c r="D26" s="107"/>
      <c r="E26" s="136" t="s">
        <v>79</v>
      </c>
      <c r="F26" s="119"/>
      <c r="G26" s="119"/>
      <c r="H26" s="119"/>
      <c r="I26" s="119"/>
      <c r="J26" s="119"/>
      <c r="K26" s="119"/>
      <c r="L26" s="119"/>
      <c r="M26" s="137"/>
      <c r="N26" s="17" t="str">
        <f>IF(E26="Click this cell and select an option from the drop down box.","X","OK")</f>
        <v>X</v>
      </c>
      <c r="O26" s="36"/>
      <c r="P26" s="116"/>
      <c r="Q26" s="120"/>
      <c r="R26" s="120"/>
      <c r="S26" s="120"/>
      <c r="T26" s="120"/>
      <c r="U26" s="121"/>
      <c r="V26" s="40"/>
      <c r="W26" s="40"/>
      <c r="X26" s="40"/>
      <c r="Y26" s="40"/>
    </row>
    <row r="27" spans="1:31" ht="15" customHeight="1">
      <c r="A27" s="151" t="s">
        <v>104</v>
      </c>
      <c r="B27" s="152"/>
      <c r="C27" s="152"/>
      <c r="D27" s="152"/>
      <c r="E27" s="152"/>
      <c r="F27" s="152"/>
      <c r="G27" s="94">
        <v>0</v>
      </c>
      <c r="H27" s="153" t="s">
        <v>105</v>
      </c>
      <c r="I27" s="153"/>
      <c r="J27" s="153"/>
      <c r="K27" s="153"/>
      <c r="L27" s="153"/>
      <c r="M27" s="153"/>
      <c r="N27" s="154"/>
      <c r="O27" s="40" t="b">
        <f>OR(E27="Click this cell and select an option from the drop down box.",E27="Factory commission per this worksheet.")</f>
        <v>0</v>
      </c>
      <c r="P27" s="116"/>
      <c r="Q27" s="120"/>
      <c r="R27" s="120"/>
      <c r="S27" s="120"/>
      <c r="T27" s="120"/>
      <c r="U27" s="121"/>
      <c r="V27" s="40"/>
      <c r="W27" s="40"/>
      <c r="X27" s="40"/>
      <c r="Y27" s="40"/>
    </row>
    <row r="28" spans="1:31" ht="30" customHeight="1" thickBot="1">
      <c r="A28" s="157" t="s">
        <v>106</v>
      </c>
      <c r="B28" s="158"/>
      <c r="C28" s="158"/>
      <c r="D28" s="158"/>
      <c r="E28" s="158"/>
      <c r="F28" s="158"/>
      <c r="G28" s="95">
        <v>0</v>
      </c>
      <c r="H28" s="155"/>
      <c r="I28" s="155"/>
      <c r="J28" s="155"/>
      <c r="K28" s="155"/>
      <c r="L28" s="155"/>
      <c r="M28" s="155"/>
      <c r="N28" s="156"/>
      <c r="O28" s="36"/>
      <c r="P28" s="116"/>
      <c r="Q28" s="120"/>
      <c r="R28" s="120"/>
      <c r="S28" s="120"/>
      <c r="T28" s="120"/>
      <c r="U28" s="121"/>
      <c r="V28" s="40"/>
      <c r="W28" s="40"/>
      <c r="X28" s="40"/>
      <c r="Y28" s="40"/>
    </row>
    <row r="29" spans="1:31" ht="15" customHeight="1">
      <c r="A29" s="111" t="s">
        <v>40</v>
      </c>
      <c r="B29" s="112"/>
      <c r="C29" s="106" t="s">
        <v>41</v>
      </c>
      <c r="D29" s="107"/>
      <c r="E29" s="116"/>
      <c r="F29" s="117"/>
      <c r="G29" s="117"/>
      <c r="H29" s="117"/>
      <c r="I29" s="117"/>
      <c r="J29" s="117"/>
      <c r="K29" s="117"/>
      <c r="L29" s="117"/>
      <c r="M29" s="117"/>
      <c r="N29" s="16" t="str">
        <f>IF(E29="","X","OK")</f>
        <v>X</v>
      </c>
      <c r="O29" s="38"/>
      <c r="P29" s="116"/>
      <c r="Q29" s="120"/>
      <c r="R29" s="120"/>
      <c r="S29" s="120"/>
      <c r="T29" s="120"/>
      <c r="U29" s="121"/>
      <c r="V29" s="40"/>
      <c r="W29" s="40"/>
      <c r="X29" s="40"/>
      <c r="Y29" s="40"/>
    </row>
    <row r="30" spans="1:31" ht="15" customHeight="1">
      <c r="A30" s="111"/>
      <c r="B30" s="112"/>
      <c r="C30" s="106" t="s">
        <v>42</v>
      </c>
      <c r="D30" s="107"/>
      <c r="E30" s="116"/>
      <c r="F30" s="117"/>
      <c r="G30" s="117"/>
      <c r="H30" s="117"/>
      <c r="I30" s="117"/>
      <c r="J30" s="117"/>
      <c r="K30" s="117"/>
      <c r="L30" s="117"/>
      <c r="M30" s="117"/>
      <c r="N30" s="16" t="str">
        <f t="shared" ref="N30:N35" si="1">IF(E30="","X","OK")</f>
        <v>X</v>
      </c>
      <c r="O30" s="38"/>
      <c r="P30" s="116"/>
      <c r="Q30" s="120"/>
      <c r="R30" s="120"/>
      <c r="S30" s="120"/>
      <c r="T30" s="120"/>
      <c r="U30" s="121"/>
      <c r="V30" s="68"/>
      <c r="W30" s="68"/>
      <c r="X30" s="68"/>
      <c r="Y30" s="68"/>
      <c r="Z30" s="3"/>
      <c r="AA30" s="3"/>
      <c r="AB30" s="3"/>
      <c r="AC30" s="3"/>
      <c r="AD30" s="3"/>
      <c r="AE30" s="3"/>
    </row>
    <row r="31" spans="1:31" ht="15" customHeight="1">
      <c r="A31" s="111"/>
      <c r="B31" s="112"/>
      <c r="C31" s="106" t="s">
        <v>49</v>
      </c>
      <c r="D31" s="107"/>
      <c r="E31" s="116"/>
      <c r="F31" s="117"/>
      <c r="G31" s="117"/>
      <c r="H31" s="117"/>
      <c r="I31" s="117"/>
      <c r="J31" s="117"/>
      <c r="K31" s="117"/>
      <c r="L31" s="117"/>
      <c r="M31" s="117"/>
      <c r="N31" s="141" t="str">
        <f t="shared" si="1"/>
        <v>X</v>
      </c>
      <c r="O31" s="38"/>
      <c r="P31" s="116"/>
      <c r="Q31" s="120"/>
      <c r="R31" s="120"/>
      <c r="S31" s="120"/>
      <c r="T31" s="120"/>
      <c r="U31" s="121"/>
      <c r="V31" s="40"/>
      <c r="W31" s="40"/>
      <c r="X31" s="40"/>
      <c r="Y31" s="40"/>
      <c r="Z31" s="29"/>
      <c r="AA31" s="29"/>
      <c r="AB31" s="29"/>
      <c r="AC31" s="29"/>
      <c r="AD31" s="29"/>
    </row>
    <row r="32" spans="1:31" ht="15" customHeight="1">
      <c r="A32" s="111"/>
      <c r="B32" s="112"/>
      <c r="C32" s="87" t="s">
        <v>49</v>
      </c>
      <c r="D32" s="88"/>
      <c r="E32" s="116"/>
      <c r="F32" s="117"/>
      <c r="G32" s="117"/>
      <c r="H32" s="117"/>
      <c r="I32" s="117"/>
      <c r="J32" s="117"/>
      <c r="K32" s="117"/>
      <c r="L32" s="117"/>
      <c r="M32" s="117"/>
      <c r="N32" s="141"/>
      <c r="O32" s="38"/>
      <c r="P32" s="116"/>
      <c r="Q32" s="120"/>
      <c r="R32" s="120"/>
      <c r="S32" s="120"/>
      <c r="T32" s="120"/>
      <c r="U32" s="121"/>
      <c r="V32" s="40"/>
      <c r="W32" s="40"/>
      <c r="X32" s="40"/>
      <c r="Y32" s="40"/>
      <c r="Z32" s="29"/>
      <c r="AA32" s="29"/>
      <c r="AB32" s="29"/>
      <c r="AC32" s="29"/>
      <c r="AD32" s="29"/>
    </row>
    <row r="33" spans="1:30" ht="15" customHeight="1">
      <c r="A33" s="111"/>
      <c r="B33" s="112"/>
      <c r="C33" s="87" t="s">
        <v>50</v>
      </c>
      <c r="D33" s="88"/>
      <c r="E33" s="116"/>
      <c r="F33" s="117"/>
      <c r="G33" s="117"/>
      <c r="H33" s="117"/>
      <c r="I33" s="117"/>
      <c r="J33" s="117"/>
      <c r="K33" s="117"/>
      <c r="L33" s="117"/>
      <c r="M33" s="117"/>
      <c r="N33" s="16" t="str">
        <f t="shared" si="1"/>
        <v>X</v>
      </c>
      <c r="O33" s="38"/>
      <c r="P33" s="116"/>
      <c r="Q33" s="120"/>
      <c r="R33" s="120"/>
      <c r="S33" s="120"/>
      <c r="T33" s="120"/>
      <c r="U33" s="121"/>
      <c r="V33" s="40"/>
      <c r="W33" s="40"/>
      <c r="X33" s="40"/>
      <c r="Y33" s="40"/>
      <c r="Z33" s="29"/>
      <c r="AA33" s="29"/>
      <c r="AB33" s="29"/>
      <c r="AC33" s="29"/>
      <c r="AD33" s="29"/>
    </row>
    <row r="34" spans="1:30" ht="15" customHeight="1">
      <c r="A34" s="111"/>
      <c r="B34" s="112"/>
      <c r="C34" s="87" t="s">
        <v>52</v>
      </c>
      <c r="D34" s="88"/>
      <c r="E34" s="138"/>
      <c r="F34" s="139"/>
      <c r="G34" s="139"/>
      <c r="H34" s="139"/>
      <c r="I34" s="139"/>
      <c r="J34" s="139"/>
      <c r="K34" s="139"/>
      <c r="L34" s="139"/>
      <c r="M34" s="140"/>
      <c r="N34" s="16" t="str">
        <f t="shared" si="1"/>
        <v>X</v>
      </c>
      <c r="O34" s="38"/>
      <c r="P34" s="116"/>
      <c r="Q34" s="120"/>
      <c r="R34" s="120"/>
      <c r="S34" s="120"/>
      <c r="T34" s="120"/>
      <c r="U34" s="121"/>
      <c r="V34" s="40"/>
      <c r="W34" s="40"/>
      <c r="X34" s="40"/>
      <c r="Y34" s="40"/>
      <c r="Z34" s="34"/>
      <c r="AA34" s="29"/>
      <c r="AB34" s="29"/>
      <c r="AC34" s="29"/>
      <c r="AD34" s="29"/>
    </row>
    <row r="35" spans="1:30" ht="15" customHeight="1" thickBot="1">
      <c r="A35" s="113"/>
      <c r="B35" s="114"/>
      <c r="C35" s="109" t="s">
        <v>43</v>
      </c>
      <c r="D35" s="110"/>
      <c r="E35" s="118"/>
      <c r="F35" s="119"/>
      <c r="G35" s="119"/>
      <c r="H35" s="119"/>
      <c r="I35" s="119"/>
      <c r="J35" s="119"/>
      <c r="K35" s="119"/>
      <c r="L35" s="119"/>
      <c r="M35" s="119"/>
      <c r="N35" s="17" t="str">
        <f t="shared" si="1"/>
        <v>X</v>
      </c>
      <c r="O35" s="38"/>
      <c r="P35" s="118"/>
      <c r="Q35" s="132"/>
      <c r="R35" s="132"/>
      <c r="S35" s="132"/>
      <c r="T35" s="132"/>
      <c r="U35" s="133"/>
      <c r="V35" s="40"/>
      <c r="W35" s="40"/>
      <c r="X35" s="40"/>
      <c r="Y35" s="40"/>
      <c r="Z35" s="34"/>
      <c r="AA35" s="29"/>
      <c r="AB35" s="29"/>
      <c r="AC35" s="29"/>
      <c r="AD35" s="29"/>
    </row>
    <row r="36" spans="1:30" ht="15" customHeight="1">
      <c r="A36" s="50"/>
      <c r="B36" s="50"/>
      <c r="C36" s="50"/>
      <c r="D36" s="36"/>
      <c r="E36" s="36"/>
      <c r="F36" s="36"/>
      <c r="G36" s="36"/>
      <c r="H36" s="36"/>
      <c r="I36" s="36"/>
      <c r="J36" s="36"/>
      <c r="K36" s="50"/>
      <c r="L36" s="36"/>
      <c r="M36" s="36"/>
      <c r="N36" s="36"/>
      <c r="O36" s="38"/>
      <c r="P36" s="36"/>
      <c r="Q36" s="39"/>
      <c r="R36" s="36"/>
      <c r="S36" s="38"/>
      <c r="T36" s="36"/>
      <c r="U36" s="50"/>
      <c r="V36" s="40"/>
      <c r="W36" s="40"/>
      <c r="X36" s="40"/>
      <c r="Y36" s="40"/>
      <c r="Z36" s="34"/>
      <c r="AA36" s="29"/>
      <c r="AB36" s="29"/>
      <c r="AC36" s="29"/>
      <c r="AD36" s="29"/>
    </row>
    <row r="37" spans="1:30" ht="15" customHeight="1">
      <c r="A37" s="50"/>
      <c r="B37" s="50"/>
      <c r="C37" s="50"/>
      <c r="D37" s="36"/>
      <c r="E37" s="36"/>
      <c r="F37" s="36"/>
      <c r="G37" s="36"/>
      <c r="H37" s="36"/>
      <c r="I37" s="36"/>
      <c r="J37" s="36"/>
      <c r="K37" s="50"/>
      <c r="L37" s="36"/>
      <c r="M37" s="36"/>
      <c r="N37" s="36"/>
      <c r="O37" s="38"/>
      <c r="P37" s="36"/>
      <c r="Q37" s="39"/>
      <c r="R37" s="36"/>
      <c r="S37" s="38"/>
      <c r="T37" s="36"/>
      <c r="U37" s="50"/>
      <c r="V37" s="40"/>
      <c r="W37" s="40"/>
      <c r="X37" s="40"/>
      <c r="Y37" s="40"/>
      <c r="Z37" s="34"/>
      <c r="AA37" s="29"/>
      <c r="AB37" s="29"/>
      <c r="AC37" s="29"/>
      <c r="AD37" s="29"/>
    </row>
    <row r="38" spans="1:30" ht="15" customHeight="1">
      <c r="A38" s="130" t="s">
        <v>66</v>
      </c>
      <c r="B38" s="131"/>
      <c r="C38" s="131"/>
      <c r="D38" s="131"/>
      <c r="E38" s="131"/>
      <c r="F38" s="131"/>
      <c r="G38" s="131"/>
      <c r="H38" s="131"/>
      <c r="I38" s="40"/>
      <c r="J38" s="40" t="b">
        <f>AND(O27=TRUE,I38=FALSE)</f>
        <v>0</v>
      </c>
      <c r="K38" s="55"/>
      <c r="L38" s="134" t="str">
        <f>IF(O25=FALSE,"Based on your commissioning choice, you may SKIP this section.",IF(V41&lt;0,"Section is NOT complete.  Please complete indicated fields.",IF(V41=0,"You MUST complete at least one line of this section.","SECTION COMPLETE")))</f>
        <v>You MUST complete at least one line of this section.</v>
      </c>
      <c r="M38" s="134"/>
      <c r="N38" s="134"/>
      <c r="O38" s="134"/>
      <c r="P38" s="134"/>
      <c r="Q38" s="134"/>
      <c r="R38" s="134"/>
      <c r="S38" s="134"/>
      <c r="T38" s="134"/>
      <c r="U38" s="134"/>
      <c r="V38" s="40"/>
      <c r="W38" s="40"/>
      <c r="X38" s="40"/>
      <c r="Y38" s="40"/>
      <c r="Z38" s="29"/>
      <c r="AA38" s="29"/>
      <c r="AB38" s="29"/>
      <c r="AC38" s="29"/>
      <c r="AD38" s="29"/>
    </row>
    <row r="39" spans="1:30" ht="15" customHeight="1" thickBot="1">
      <c r="A39" s="78" t="s">
        <v>56</v>
      </c>
      <c r="B39" s="79"/>
      <c r="C39" s="79"/>
      <c r="D39" s="79"/>
      <c r="E39" s="79"/>
      <c r="F39" s="79"/>
      <c r="G39" s="79"/>
      <c r="H39" s="50"/>
      <c r="I39" s="50"/>
      <c r="J39" s="50"/>
      <c r="K39" s="50"/>
      <c r="L39" s="135"/>
      <c r="M39" s="135"/>
      <c r="N39" s="135"/>
      <c r="O39" s="135"/>
      <c r="P39" s="135"/>
      <c r="Q39" s="135"/>
      <c r="R39" s="135"/>
      <c r="S39" s="135"/>
      <c r="T39" s="135"/>
      <c r="U39" s="135"/>
      <c r="V39" s="40"/>
      <c r="W39" s="40"/>
      <c r="X39" s="40"/>
      <c r="Y39" s="40"/>
      <c r="Z39" s="29"/>
      <c r="AA39" s="29"/>
      <c r="AB39" s="29"/>
      <c r="AC39" s="29"/>
      <c r="AD39" s="29"/>
    </row>
    <row r="40" spans="1:30" ht="15" customHeight="1">
      <c r="A40" s="142" t="s">
        <v>22</v>
      </c>
      <c r="B40" s="167" t="s">
        <v>8</v>
      </c>
      <c r="C40" s="167"/>
      <c r="D40" s="167"/>
      <c r="E40" s="167"/>
      <c r="F40" s="167"/>
      <c r="G40" s="167"/>
      <c r="H40" s="167"/>
      <c r="I40" s="167"/>
      <c r="J40" s="167" t="s">
        <v>97</v>
      </c>
      <c r="K40" s="168"/>
      <c r="L40" s="164" t="s">
        <v>96</v>
      </c>
      <c r="M40" s="164"/>
      <c r="N40" s="164"/>
      <c r="O40" s="164"/>
      <c r="P40" s="164"/>
      <c r="Q40" s="165"/>
      <c r="R40" s="31" t="s">
        <v>78</v>
      </c>
      <c r="S40" s="31" t="s">
        <v>25</v>
      </c>
      <c r="T40" s="19" t="s">
        <v>31</v>
      </c>
      <c r="U40" s="32" t="s">
        <v>69</v>
      </c>
      <c r="V40" s="40"/>
      <c r="W40" s="40"/>
      <c r="X40" s="40"/>
      <c r="Y40" s="51"/>
      <c r="AA40" s="29"/>
      <c r="AB40" s="29"/>
      <c r="AC40" s="29"/>
      <c r="AD40" s="29"/>
    </row>
    <row r="41" spans="1:30" ht="15" customHeight="1" thickBot="1">
      <c r="A41" s="113"/>
      <c r="B41" s="172" t="s">
        <v>108</v>
      </c>
      <c r="C41" s="172"/>
      <c r="D41" s="172"/>
      <c r="E41" s="172"/>
      <c r="F41" s="172"/>
      <c r="G41" s="172"/>
      <c r="H41" s="172"/>
      <c r="I41" s="172"/>
      <c r="J41" s="114"/>
      <c r="K41" s="169"/>
      <c r="L41" s="162" t="s">
        <v>95</v>
      </c>
      <c r="M41" s="162"/>
      <c r="N41" s="170" t="s">
        <v>93</v>
      </c>
      <c r="O41" s="170"/>
      <c r="P41" s="162" t="s">
        <v>94</v>
      </c>
      <c r="Q41" s="163"/>
      <c r="R41" s="30" t="s">
        <v>77</v>
      </c>
      <c r="S41" s="89" t="s">
        <v>24</v>
      </c>
      <c r="T41" s="20" t="s">
        <v>23</v>
      </c>
      <c r="U41" s="33" t="s">
        <v>55</v>
      </c>
      <c r="V41" s="40">
        <f>SUM(V42:V62)</f>
        <v>0</v>
      </c>
      <c r="W41" s="40" t="s">
        <v>80</v>
      </c>
      <c r="X41" s="40" t="s">
        <v>81</v>
      </c>
      <c r="Y41" s="51"/>
      <c r="AA41" s="29"/>
      <c r="AB41" s="29"/>
      <c r="AC41" s="29"/>
      <c r="AD41" s="29"/>
    </row>
    <row r="42" spans="1:30" ht="15" customHeight="1">
      <c r="A42" s="64"/>
      <c r="B42" s="143"/>
      <c r="C42" s="143"/>
      <c r="D42" s="143"/>
      <c r="E42" s="143"/>
      <c r="F42" s="143"/>
      <c r="G42" s="143"/>
      <c r="H42" s="143"/>
      <c r="I42" s="143"/>
      <c r="J42" s="166"/>
      <c r="K42" s="166"/>
      <c r="L42" s="129" t="s">
        <v>87</v>
      </c>
      <c r="M42" s="129"/>
      <c r="N42" s="129" t="s">
        <v>92</v>
      </c>
      <c r="O42" s="129"/>
      <c r="P42" s="129" t="s">
        <v>92</v>
      </c>
      <c r="Q42" s="129"/>
      <c r="R42" s="86" t="s">
        <v>12</v>
      </c>
      <c r="S42" s="91" t="s">
        <v>9</v>
      </c>
      <c r="T42" s="12">
        <v>10</v>
      </c>
      <c r="U42" s="21" t="str">
        <f t="shared" ref="U42:U62" si="2">IF(OR(A42&lt;&gt;"",B42&lt;&gt;"",J42&lt;&gt;""),IF(OR(A42="",B42="",J42=""),"Incomplete","OK"),"No entry")</f>
        <v>No entry</v>
      </c>
      <c r="V42" s="40">
        <f>IF(U42="No entry",0,IF(U42="OK",1,-100))</f>
        <v>0</v>
      </c>
      <c r="W42" s="40">
        <f>IF(S42="By Zone",1,0)</f>
        <v>0</v>
      </c>
      <c r="X42" s="51" t="b">
        <f>OR(ISNUMBER(FIND("MDD",B42)),ISNUMBER(FIND("mdd",B42)),ISNUMBER(FIND("BCM",B42)),ISNUMBER(FIND("bcm",B42)),ISNUMBER(FIND("SWPM",B42)),ISNUMBER(FIND("swpm",B42)),ISNUMBER(FIND("SWFM",B42)),ISNUMBER(FIND("swfm",B42)))</f>
        <v>0</v>
      </c>
      <c r="Y42" s="51"/>
      <c r="AC42" s="29"/>
      <c r="AD42" s="29"/>
    </row>
    <row r="43" spans="1:30" ht="15" customHeight="1">
      <c r="A43" s="64"/>
      <c r="B43" s="143"/>
      <c r="C43" s="143"/>
      <c r="D43" s="143"/>
      <c r="E43" s="143"/>
      <c r="F43" s="143"/>
      <c r="G43" s="143"/>
      <c r="H43" s="143"/>
      <c r="I43" s="143"/>
      <c r="J43" s="166"/>
      <c r="K43" s="166"/>
      <c r="L43" s="100" t="s">
        <v>87</v>
      </c>
      <c r="M43" s="100"/>
      <c r="N43" s="100" t="s">
        <v>92</v>
      </c>
      <c r="O43" s="100"/>
      <c r="P43" s="100" t="s">
        <v>92</v>
      </c>
      <c r="Q43" s="100"/>
      <c r="R43" s="84" t="s">
        <v>12</v>
      </c>
      <c r="S43" s="92" t="s">
        <v>9</v>
      </c>
      <c r="T43" s="12">
        <v>10</v>
      </c>
      <c r="U43" s="21" t="str">
        <f t="shared" si="2"/>
        <v>No entry</v>
      </c>
      <c r="V43" s="40">
        <f t="shared" ref="V43:V62" si="3">IF(U43="No entry",0,IF(U43="OK",1,-100))</f>
        <v>0</v>
      </c>
      <c r="W43" s="40">
        <f t="shared" ref="W43:W62" si="4">IF(S43="By Zone",1,0)</f>
        <v>0</v>
      </c>
      <c r="X43" s="51" t="b">
        <f t="shared" ref="X43:X62" si="5">OR(ISNUMBER(FIND("MDD",B43)),ISNUMBER(FIND("mdd",B43)),ISNUMBER(FIND("BCM",B43)),ISNUMBER(FIND("bcm",B43)),ISNUMBER(FIND("SWPM",B43)),ISNUMBER(FIND("swpm",B43)),ISNUMBER(FIND("SWFM",B43)),ISNUMBER(FIND("swfm",B43)))</f>
        <v>0</v>
      </c>
      <c r="Y43" s="51"/>
    </row>
    <row r="44" spans="1:30" ht="15" customHeight="1">
      <c r="A44" s="64"/>
      <c r="B44" s="143"/>
      <c r="C44" s="143"/>
      <c r="D44" s="143"/>
      <c r="E44" s="143"/>
      <c r="F44" s="143"/>
      <c r="G44" s="143"/>
      <c r="H44" s="143"/>
      <c r="I44" s="143"/>
      <c r="J44" s="166"/>
      <c r="K44" s="166"/>
      <c r="L44" s="100" t="s">
        <v>87</v>
      </c>
      <c r="M44" s="100"/>
      <c r="N44" s="100" t="s">
        <v>92</v>
      </c>
      <c r="O44" s="100"/>
      <c r="P44" s="100" t="s">
        <v>92</v>
      </c>
      <c r="Q44" s="100"/>
      <c r="R44" s="84" t="s">
        <v>12</v>
      </c>
      <c r="S44" s="92" t="s">
        <v>9</v>
      </c>
      <c r="T44" s="12">
        <v>10</v>
      </c>
      <c r="U44" s="21" t="str">
        <f t="shared" si="2"/>
        <v>No entry</v>
      </c>
      <c r="V44" s="40">
        <f t="shared" si="3"/>
        <v>0</v>
      </c>
      <c r="W44" s="40">
        <f t="shared" si="4"/>
        <v>0</v>
      </c>
      <c r="X44" s="51" t="b">
        <f t="shared" si="5"/>
        <v>0</v>
      </c>
      <c r="Y44" s="51"/>
    </row>
    <row r="45" spans="1:30" ht="15" customHeight="1">
      <c r="A45" s="64"/>
      <c r="B45" s="143"/>
      <c r="C45" s="143"/>
      <c r="D45" s="143"/>
      <c r="E45" s="143"/>
      <c r="F45" s="143"/>
      <c r="G45" s="143"/>
      <c r="H45" s="143"/>
      <c r="I45" s="143"/>
      <c r="J45" s="166"/>
      <c r="K45" s="166"/>
      <c r="L45" s="100" t="s">
        <v>87</v>
      </c>
      <c r="M45" s="100"/>
      <c r="N45" s="100" t="s">
        <v>92</v>
      </c>
      <c r="O45" s="100"/>
      <c r="P45" s="100" t="s">
        <v>92</v>
      </c>
      <c r="Q45" s="100"/>
      <c r="R45" s="84" t="s">
        <v>12</v>
      </c>
      <c r="S45" s="92" t="s">
        <v>9</v>
      </c>
      <c r="T45" s="12">
        <v>10</v>
      </c>
      <c r="U45" s="21" t="str">
        <f t="shared" si="2"/>
        <v>No entry</v>
      </c>
      <c r="V45" s="40">
        <f t="shared" si="3"/>
        <v>0</v>
      </c>
      <c r="W45" s="40">
        <f t="shared" si="4"/>
        <v>0</v>
      </c>
      <c r="X45" s="51" t="b">
        <f t="shared" si="5"/>
        <v>0</v>
      </c>
      <c r="Y45" s="51"/>
    </row>
    <row r="46" spans="1:30" ht="15" customHeight="1">
      <c r="A46" s="64"/>
      <c r="B46" s="143"/>
      <c r="C46" s="143"/>
      <c r="D46" s="143"/>
      <c r="E46" s="143"/>
      <c r="F46" s="143"/>
      <c r="G46" s="143"/>
      <c r="H46" s="143"/>
      <c r="I46" s="143"/>
      <c r="J46" s="166"/>
      <c r="K46" s="166"/>
      <c r="L46" s="100" t="s">
        <v>87</v>
      </c>
      <c r="M46" s="100"/>
      <c r="N46" s="100" t="s">
        <v>92</v>
      </c>
      <c r="O46" s="100"/>
      <c r="P46" s="100" t="s">
        <v>92</v>
      </c>
      <c r="Q46" s="100"/>
      <c r="R46" s="84" t="s">
        <v>12</v>
      </c>
      <c r="S46" s="92" t="s">
        <v>9</v>
      </c>
      <c r="T46" s="12">
        <v>10</v>
      </c>
      <c r="U46" s="21" t="str">
        <f t="shared" si="2"/>
        <v>No entry</v>
      </c>
      <c r="V46" s="40">
        <f t="shared" si="3"/>
        <v>0</v>
      </c>
      <c r="W46" s="40">
        <f t="shared" si="4"/>
        <v>0</v>
      </c>
      <c r="X46" s="51" t="b">
        <f t="shared" si="5"/>
        <v>0</v>
      </c>
      <c r="Y46" s="51"/>
    </row>
    <row r="47" spans="1:30" ht="15" customHeight="1">
      <c r="A47" s="64"/>
      <c r="B47" s="143"/>
      <c r="C47" s="143"/>
      <c r="D47" s="143"/>
      <c r="E47" s="143"/>
      <c r="F47" s="143"/>
      <c r="G47" s="143"/>
      <c r="H47" s="143"/>
      <c r="I47" s="143"/>
      <c r="J47" s="166"/>
      <c r="K47" s="166"/>
      <c r="L47" s="100" t="s">
        <v>87</v>
      </c>
      <c r="M47" s="100"/>
      <c r="N47" s="100" t="s">
        <v>92</v>
      </c>
      <c r="O47" s="100"/>
      <c r="P47" s="100" t="s">
        <v>92</v>
      </c>
      <c r="Q47" s="100"/>
      <c r="R47" s="84" t="s">
        <v>12</v>
      </c>
      <c r="S47" s="92" t="s">
        <v>9</v>
      </c>
      <c r="T47" s="12">
        <v>10</v>
      </c>
      <c r="U47" s="21" t="str">
        <f t="shared" si="2"/>
        <v>No entry</v>
      </c>
      <c r="V47" s="40">
        <f t="shared" si="3"/>
        <v>0</v>
      </c>
      <c r="W47" s="40">
        <f t="shared" si="4"/>
        <v>0</v>
      </c>
      <c r="X47" s="51" t="b">
        <f t="shared" si="5"/>
        <v>0</v>
      </c>
      <c r="Y47" s="51"/>
    </row>
    <row r="48" spans="1:30" ht="15" customHeight="1">
      <c r="A48" s="64"/>
      <c r="B48" s="143"/>
      <c r="C48" s="143"/>
      <c r="D48" s="143"/>
      <c r="E48" s="143"/>
      <c r="F48" s="143"/>
      <c r="G48" s="143"/>
      <c r="H48" s="143"/>
      <c r="I48" s="143"/>
      <c r="J48" s="166"/>
      <c r="K48" s="166"/>
      <c r="L48" s="100" t="s">
        <v>87</v>
      </c>
      <c r="M48" s="100"/>
      <c r="N48" s="100" t="s">
        <v>92</v>
      </c>
      <c r="O48" s="100"/>
      <c r="P48" s="100" t="s">
        <v>92</v>
      </c>
      <c r="Q48" s="100"/>
      <c r="R48" s="84" t="s">
        <v>12</v>
      </c>
      <c r="S48" s="92" t="s">
        <v>9</v>
      </c>
      <c r="T48" s="12">
        <v>10</v>
      </c>
      <c r="U48" s="21" t="str">
        <f t="shared" si="2"/>
        <v>No entry</v>
      </c>
      <c r="V48" s="40">
        <f t="shared" si="3"/>
        <v>0</v>
      </c>
      <c r="W48" s="40">
        <f t="shared" si="4"/>
        <v>0</v>
      </c>
      <c r="X48" s="51" t="b">
        <f t="shared" si="5"/>
        <v>0</v>
      </c>
      <c r="Y48" s="51"/>
    </row>
    <row r="49" spans="1:25" ht="15" customHeight="1">
      <c r="A49" s="64"/>
      <c r="B49" s="143"/>
      <c r="C49" s="143"/>
      <c r="D49" s="143"/>
      <c r="E49" s="143"/>
      <c r="F49" s="143"/>
      <c r="G49" s="143"/>
      <c r="H49" s="143"/>
      <c r="I49" s="143"/>
      <c r="J49" s="166"/>
      <c r="K49" s="166"/>
      <c r="L49" s="100" t="s">
        <v>87</v>
      </c>
      <c r="M49" s="100"/>
      <c r="N49" s="100" t="s">
        <v>92</v>
      </c>
      <c r="O49" s="100"/>
      <c r="P49" s="100" t="s">
        <v>92</v>
      </c>
      <c r="Q49" s="100"/>
      <c r="R49" s="84" t="s">
        <v>12</v>
      </c>
      <c r="S49" s="92" t="s">
        <v>9</v>
      </c>
      <c r="T49" s="12">
        <v>10</v>
      </c>
      <c r="U49" s="21" t="str">
        <f t="shared" si="2"/>
        <v>No entry</v>
      </c>
      <c r="V49" s="40">
        <f t="shared" si="3"/>
        <v>0</v>
      </c>
      <c r="W49" s="40">
        <f t="shared" si="4"/>
        <v>0</v>
      </c>
      <c r="X49" s="51" t="b">
        <f t="shared" si="5"/>
        <v>0</v>
      </c>
      <c r="Y49" s="51"/>
    </row>
    <row r="50" spans="1:25" ht="15" customHeight="1">
      <c r="A50" s="64"/>
      <c r="B50" s="143"/>
      <c r="C50" s="143"/>
      <c r="D50" s="143"/>
      <c r="E50" s="143"/>
      <c r="F50" s="143"/>
      <c r="G50" s="143"/>
      <c r="H50" s="143"/>
      <c r="I50" s="143"/>
      <c r="J50" s="166"/>
      <c r="K50" s="166"/>
      <c r="L50" s="100" t="s">
        <v>87</v>
      </c>
      <c r="M50" s="100"/>
      <c r="N50" s="100" t="s">
        <v>92</v>
      </c>
      <c r="O50" s="100"/>
      <c r="P50" s="100" t="s">
        <v>92</v>
      </c>
      <c r="Q50" s="100"/>
      <c r="R50" s="84" t="s">
        <v>12</v>
      </c>
      <c r="S50" s="92" t="s">
        <v>9</v>
      </c>
      <c r="T50" s="12">
        <v>10</v>
      </c>
      <c r="U50" s="21" t="str">
        <f t="shared" si="2"/>
        <v>No entry</v>
      </c>
      <c r="V50" s="40">
        <f t="shared" si="3"/>
        <v>0</v>
      </c>
      <c r="W50" s="40">
        <f t="shared" si="4"/>
        <v>0</v>
      </c>
      <c r="X50" s="51" t="b">
        <f t="shared" si="5"/>
        <v>0</v>
      </c>
      <c r="Y50" s="51"/>
    </row>
    <row r="51" spans="1:25" ht="15" customHeight="1">
      <c r="A51" s="64"/>
      <c r="B51" s="143"/>
      <c r="C51" s="143"/>
      <c r="D51" s="143"/>
      <c r="E51" s="143"/>
      <c r="F51" s="143"/>
      <c r="G51" s="143"/>
      <c r="H51" s="143"/>
      <c r="I51" s="143"/>
      <c r="J51" s="166"/>
      <c r="K51" s="166"/>
      <c r="L51" s="100" t="s">
        <v>87</v>
      </c>
      <c r="M51" s="100"/>
      <c r="N51" s="100" t="s">
        <v>92</v>
      </c>
      <c r="O51" s="100"/>
      <c r="P51" s="100" t="s">
        <v>92</v>
      </c>
      <c r="Q51" s="100"/>
      <c r="R51" s="84" t="s">
        <v>12</v>
      </c>
      <c r="S51" s="92" t="s">
        <v>9</v>
      </c>
      <c r="T51" s="12">
        <v>10</v>
      </c>
      <c r="U51" s="21" t="str">
        <f t="shared" si="2"/>
        <v>No entry</v>
      </c>
      <c r="V51" s="40">
        <f t="shared" si="3"/>
        <v>0</v>
      </c>
      <c r="W51" s="40">
        <f t="shared" si="4"/>
        <v>0</v>
      </c>
      <c r="X51" s="51" t="b">
        <f t="shared" si="5"/>
        <v>0</v>
      </c>
      <c r="Y51" s="51"/>
    </row>
    <row r="52" spans="1:25" ht="15" customHeight="1">
      <c r="A52" s="64"/>
      <c r="B52" s="143"/>
      <c r="C52" s="143"/>
      <c r="D52" s="143"/>
      <c r="E52" s="143"/>
      <c r="F52" s="143"/>
      <c r="G52" s="143"/>
      <c r="H52" s="143"/>
      <c r="I52" s="143"/>
      <c r="J52" s="166"/>
      <c r="K52" s="166"/>
      <c r="L52" s="100" t="s">
        <v>87</v>
      </c>
      <c r="M52" s="100"/>
      <c r="N52" s="100" t="s">
        <v>92</v>
      </c>
      <c r="O52" s="100"/>
      <c r="P52" s="100" t="s">
        <v>92</v>
      </c>
      <c r="Q52" s="100"/>
      <c r="R52" s="84" t="s">
        <v>12</v>
      </c>
      <c r="S52" s="92" t="s">
        <v>9</v>
      </c>
      <c r="T52" s="12">
        <v>10</v>
      </c>
      <c r="U52" s="21" t="str">
        <f t="shared" si="2"/>
        <v>No entry</v>
      </c>
      <c r="V52" s="40">
        <f t="shared" si="3"/>
        <v>0</v>
      </c>
      <c r="W52" s="40">
        <f t="shared" si="4"/>
        <v>0</v>
      </c>
      <c r="X52" s="51" t="b">
        <f t="shared" si="5"/>
        <v>0</v>
      </c>
      <c r="Y52" s="51"/>
    </row>
    <row r="53" spans="1:25" ht="15" customHeight="1">
      <c r="A53" s="64"/>
      <c r="B53" s="143"/>
      <c r="C53" s="143"/>
      <c r="D53" s="143"/>
      <c r="E53" s="143"/>
      <c r="F53" s="143"/>
      <c r="G53" s="143"/>
      <c r="H53" s="143"/>
      <c r="I53" s="143"/>
      <c r="J53" s="166"/>
      <c r="K53" s="166"/>
      <c r="L53" s="100" t="s">
        <v>87</v>
      </c>
      <c r="M53" s="100"/>
      <c r="N53" s="100" t="s">
        <v>92</v>
      </c>
      <c r="O53" s="100"/>
      <c r="P53" s="100" t="s">
        <v>92</v>
      </c>
      <c r="Q53" s="100"/>
      <c r="R53" s="84" t="s">
        <v>12</v>
      </c>
      <c r="S53" s="92" t="s">
        <v>9</v>
      </c>
      <c r="T53" s="12">
        <v>10</v>
      </c>
      <c r="U53" s="21" t="str">
        <f t="shared" si="2"/>
        <v>No entry</v>
      </c>
      <c r="V53" s="40">
        <f t="shared" si="3"/>
        <v>0</v>
      </c>
      <c r="W53" s="40">
        <f t="shared" si="4"/>
        <v>0</v>
      </c>
      <c r="X53" s="51" t="b">
        <f t="shared" si="5"/>
        <v>0</v>
      </c>
      <c r="Y53" s="51"/>
    </row>
    <row r="54" spans="1:25" ht="15" customHeight="1">
      <c r="A54" s="64"/>
      <c r="B54" s="143"/>
      <c r="C54" s="143"/>
      <c r="D54" s="143"/>
      <c r="E54" s="143"/>
      <c r="F54" s="143"/>
      <c r="G54" s="143"/>
      <c r="H54" s="143"/>
      <c r="I54" s="143"/>
      <c r="J54" s="166"/>
      <c r="K54" s="166"/>
      <c r="L54" s="100" t="s">
        <v>87</v>
      </c>
      <c r="M54" s="100"/>
      <c r="N54" s="100" t="s">
        <v>87</v>
      </c>
      <c r="O54" s="100"/>
      <c r="P54" s="100" t="s">
        <v>92</v>
      </c>
      <c r="Q54" s="100"/>
      <c r="R54" s="84" t="s">
        <v>12</v>
      </c>
      <c r="S54" s="92" t="s">
        <v>9</v>
      </c>
      <c r="T54" s="12">
        <v>10</v>
      </c>
      <c r="U54" s="21" t="str">
        <f t="shared" si="2"/>
        <v>No entry</v>
      </c>
      <c r="V54" s="40">
        <f t="shared" si="3"/>
        <v>0</v>
      </c>
      <c r="W54" s="40">
        <f t="shared" si="4"/>
        <v>0</v>
      </c>
      <c r="X54" s="51" t="b">
        <f t="shared" si="5"/>
        <v>0</v>
      </c>
      <c r="Y54" s="51"/>
    </row>
    <row r="55" spans="1:25" ht="15" customHeight="1">
      <c r="A55" s="64"/>
      <c r="B55" s="143"/>
      <c r="C55" s="143"/>
      <c r="D55" s="143"/>
      <c r="E55" s="143"/>
      <c r="F55" s="143"/>
      <c r="G55" s="143"/>
      <c r="H55" s="143"/>
      <c r="I55" s="143"/>
      <c r="J55" s="166"/>
      <c r="K55" s="166"/>
      <c r="L55" s="100" t="s">
        <v>87</v>
      </c>
      <c r="M55" s="100"/>
      <c r="N55" s="100" t="s">
        <v>92</v>
      </c>
      <c r="O55" s="100"/>
      <c r="P55" s="100" t="s">
        <v>92</v>
      </c>
      <c r="Q55" s="100"/>
      <c r="R55" s="84" t="s">
        <v>12</v>
      </c>
      <c r="S55" s="92" t="s">
        <v>9</v>
      </c>
      <c r="T55" s="12">
        <v>10</v>
      </c>
      <c r="U55" s="21" t="str">
        <f t="shared" si="2"/>
        <v>No entry</v>
      </c>
      <c r="V55" s="40">
        <f t="shared" si="3"/>
        <v>0</v>
      </c>
      <c r="W55" s="40">
        <f t="shared" si="4"/>
        <v>0</v>
      </c>
      <c r="X55" s="51" t="b">
        <f t="shared" si="5"/>
        <v>0</v>
      </c>
      <c r="Y55" s="51"/>
    </row>
    <row r="56" spans="1:25" ht="15" customHeight="1">
      <c r="A56" s="64"/>
      <c r="B56" s="143"/>
      <c r="C56" s="143"/>
      <c r="D56" s="143"/>
      <c r="E56" s="143"/>
      <c r="F56" s="143"/>
      <c r="G56" s="143"/>
      <c r="H56" s="143"/>
      <c r="I56" s="143"/>
      <c r="J56" s="166"/>
      <c r="K56" s="166"/>
      <c r="L56" s="100" t="s">
        <v>87</v>
      </c>
      <c r="M56" s="100"/>
      <c r="N56" s="100" t="s">
        <v>92</v>
      </c>
      <c r="O56" s="100"/>
      <c r="P56" s="100" t="s">
        <v>92</v>
      </c>
      <c r="Q56" s="100"/>
      <c r="R56" s="84" t="s">
        <v>12</v>
      </c>
      <c r="S56" s="92" t="s">
        <v>9</v>
      </c>
      <c r="T56" s="12">
        <v>10</v>
      </c>
      <c r="U56" s="21" t="str">
        <f t="shared" si="2"/>
        <v>No entry</v>
      </c>
      <c r="V56" s="40">
        <f t="shared" si="3"/>
        <v>0</v>
      </c>
      <c r="W56" s="40">
        <f t="shared" si="4"/>
        <v>0</v>
      </c>
      <c r="X56" s="51" t="b">
        <f t="shared" si="5"/>
        <v>0</v>
      </c>
      <c r="Y56" s="51"/>
    </row>
    <row r="57" spans="1:25" ht="15" customHeight="1">
      <c r="A57" s="64"/>
      <c r="B57" s="143"/>
      <c r="C57" s="143"/>
      <c r="D57" s="143"/>
      <c r="E57" s="143"/>
      <c r="F57" s="143"/>
      <c r="G57" s="143"/>
      <c r="H57" s="143"/>
      <c r="I57" s="143"/>
      <c r="J57" s="166"/>
      <c r="K57" s="166"/>
      <c r="L57" s="100" t="s">
        <v>87</v>
      </c>
      <c r="M57" s="100"/>
      <c r="N57" s="100" t="s">
        <v>92</v>
      </c>
      <c r="O57" s="100"/>
      <c r="P57" s="100" t="s">
        <v>92</v>
      </c>
      <c r="Q57" s="100"/>
      <c r="R57" s="84" t="s">
        <v>12</v>
      </c>
      <c r="S57" s="92" t="s">
        <v>9</v>
      </c>
      <c r="T57" s="12">
        <v>10</v>
      </c>
      <c r="U57" s="21" t="str">
        <f t="shared" si="2"/>
        <v>No entry</v>
      </c>
      <c r="V57" s="40">
        <f t="shared" si="3"/>
        <v>0</v>
      </c>
      <c r="W57" s="40">
        <f t="shared" si="4"/>
        <v>0</v>
      </c>
      <c r="X57" s="51" t="b">
        <f t="shared" si="5"/>
        <v>0</v>
      </c>
      <c r="Y57" s="51"/>
    </row>
    <row r="58" spans="1:25" ht="15" customHeight="1">
      <c r="A58" s="64"/>
      <c r="B58" s="143"/>
      <c r="C58" s="143"/>
      <c r="D58" s="143"/>
      <c r="E58" s="143"/>
      <c r="F58" s="143"/>
      <c r="G58" s="143"/>
      <c r="H58" s="143"/>
      <c r="I58" s="143"/>
      <c r="J58" s="166"/>
      <c r="K58" s="166"/>
      <c r="L58" s="100" t="s">
        <v>87</v>
      </c>
      <c r="M58" s="100"/>
      <c r="N58" s="100" t="s">
        <v>92</v>
      </c>
      <c r="O58" s="100"/>
      <c r="P58" s="100" t="s">
        <v>92</v>
      </c>
      <c r="Q58" s="100"/>
      <c r="R58" s="84" t="s">
        <v>12</v>
      </c>
      <c r="S58" s="92" t="s">
        <v>9</v>
      </c>
      <c r="T58" s="12">
        <v>10</v>
      </c>
      <c r="U58" s="21" t="str">
        <f t="shared" si="2"/>
        <v>No entry</v>
      </c>
      <c r="V58" s="40">
        <f t="shared" si="3"/>
        <v>0</v>
      </c>
      <c r="W58" s="40">
        <f t="shared" si="4"/>
        <v>0</v>
      </c>
      <c r="X58" s="51" t="b">
        <f t="shared" si="5"/>
        <v>0</v>
      </c>
      <c r="Y58" s="51"/>
    </row>
    <row r="59" spans="1:25" ht="15" customHeight="1">
      <c r="A59" s="64"/>
      <c r="B59" s="143"/>
      <c r="C59" s="143"/>
      <c r="D59" s="143"/>
      <c r="E59" s="143"/>
      <c r="F59" s="143"/>
      <c r="G59" s="143"/>
      <c r="H59" s="143"/>
      <c r="I59" s="143"/>
      <c r="J59" s="166"/>
      <c r="K59" s="166"/>
      <c r="L59" s="100" t="s">
        <v>87</v>
      </c>
      <c r="M59" s="100"/>
      <c r="N59" s="100" t="s">
        <v>92</v>
      </c>
      <c r="O59" s="100"/>
      <c r="P59" s="100" t="s">
        <v>92</v>
      </c>
      <c r="Q59" s="100"/>
      <c r="R59" s="84" t="s">
        <v>12</v>
      </c>
      <c r="S59" s="92" t="s">
        <v>9</v>
      </c>
      <c r="T59" s="12">
        <v>10</v>
      </c>
      <c r="U59" s="21" t="str">
        <f t="shared" si="2"/>
        <v>No entry</v>
      </c>
      <c r="V59" s="40">
        <f t="shared" si="3"/>
        <v>0</v>
      </c>
      <c r="W59" s="40">
        <f t="shared" si="4"/>
        <v>0</v>
      </c>
      <c r="X59" s="51" t="b">
        <f t="shared" si="5"/>
        <v>0</v>
      </c>
      <c r="Y59" s="51"/>
    </row>
    <row r="60" spans="1:25" ht="15" customHeight="1">
      <c r="A60" s="64"/>
      <c r="B60" s="143"/>
      <c r="C60" s="143"/>
      <c r="D60" s="143"/>
      <c r="E60" s="143"/>
      <c r="F60" s="143"/>
      <c r="G60" s="143"/>
      <c r="H60" s="143"/>
      <c r="I60" s="143"/>
      <c r="J60" s="166"/>
      <c r="K60" s="166"/>
      <c r="L60" s="100" t="s">
        <v>87</v>
      </c>
      <c r="M60" s="100"/>
      <c r="N60" s="100" t="s">
        <v>92</v>
      </c>
      <c r="O60" s="100"/>
      <c r="P60" s="100" t="s">
        <v>92</v>
      </c>
      <c r="Q60" s="100"/>
      <c r="R60" s="84" t="s">
        <v>12</v>
      </c>
      <c r="S60" s="92" t="s">
        <v>9</v>
      </c>
      <c r="T60" s="12">
        <v>10</v>
      </c>
      <c r="U60" s="21" t="str">
        <f t="shared" si="2"/>
        <v>No entry</v>
      </c>
      <c r="V60" s="40">
        <f t="shared" si="3"/>
        <v>0</v>
      </c>
      <c r="W60" s="40">
        <f t="shared" si="4"/>
        <v>0</v>
      </c>
      <c r="X60" s="51" t="b">
        <f t="shared" si="5"/>
        <v>0</v>
      </c>
      <c r="Y60" s="51"/>
    </row>
    <row r="61" spans="1:25" ht="15" customHeight="1">
      <c r="A61" s="64"/>
      <c r="B61" s="143"/>
      <c r="C61" s="143"/>
      <c r="D61" s="143"/>
      <c r="E61" s="143"/>
      <c r="F61" s="143"/>
      <c r="G61" s="143"/>
      <c r="H61" s="143"/>
      <c r="I61" s="143"/>
      <c r="J61" s="166"/>
      <c r="K61" s="166"/>
      <c r="L61" s="100" t="s">
        <v>87</v>
      </c>
      <c r="M61" s="100"/>
      <c r="N61" s="100" t="s">
        <v>92</v>
      </c>
      <c r="O61" s="100"/>
      <c r="P61" s="100" t="s">
        <v>92</v>
      </c>
      <c r="Q61" s="100"/>
      <c r="R61" s="84" t="s">
        <v>12</v>
      </c>
      <c r="S61" s="92" t="s">
        <v>9</v>
      </c>
      <c r="T61" s="12">
        <v>10</v>
      </c>
      <c r="U61" s="21" t="str">
        <f t="shared" si="2"/>
        <v>No entry</v>
      </c>
      <c r="V61" s="40">
        <f t="shared" si="3"/>
        <v>0</v>
      </c>
      <c r="W61" s="40">
        <f t="shared" si="4"/>
        <v>0</v>
      </c>
      <c r="X61" s="51" t="b">
        <f t="shared" si="5"/>
        <v>0</v>
      </c>
      <c r="Y61" s="51"/>
    </row>
    <row r="62" spans="1:25" ht="15" customHeight="1" thickBot="1">
      <c r="A62" s="64"/>
      <c r="B62" s="143"/>
      <c r="C62" s="143"/>
      <c r="D62" s="143"/>
      <c r="E62" s="143"/>
      <c r="F62" s="143"/>
      <c r="G62" s="143"/>
      <c r="H62" s="143"/>
      <c r="I62" s="143"/>
      <c r="J62" s="171"/>
      <c r="K62" s="171"/>
      <c r="L62" s="101" t="s">
        <v>87</v>
      </c>
      <c r="M62" s="101"/>
      <c r="N62" s="101" t="s">
        <v>92</v>
      </c>
      <c r="O62" s="101"/>
      <c r="P62" s="101" t="s">
        <v>92</v>
      </c>
      <c r="Q62" s="101"/>
      <c r="R62" s="85" t="s">
        <v>12</v>
      </c>
      <c r="S62" s="93" t="s">
        <v>9</v>
      </c>
      <c r="T62" s="12">
        <v>10</v>
      </c>
      <c r="U62" s="22" t="str">
        <f t="shared" si="2"/>
        <v>No entry</v>
      </c>
      <c r="V62" s="40">
        <f t="shared" si="3"/>
        <v>0</v>
      </c>
      <c r="W62" s="40">
        <f t="shared" si="4"/>
        <v>0</v>
      </c>
      <c r="X62" s="51" t="b">
        <f t="shared" si="5"/>
        <v>0</v>
      </c>
      <c r="Y62" s="51"/>
    </row>
    <row r="63" spans="1:25" ht="15" customHeight="1" thickBot="1">
      <c r="A63" s="65">
        <f>SUM(A42:A62)</f>
        <v>0</v>
      </c>
      <c r="B63" s="66" t="s">
        <v>82</v>
      </c>
      <c r="C63" s="67"/>
      <c r="D63" s="56"/>
      <c r="E63" s="56"/>
      <c r="F63" s="56"/>
      <c r="G63" s="56"/>
      <c r="H63" s="56"/>
      <c r="I63" s="57"/>
      <c r="J63" s="58"/>
      <c r="K63" s="59"/>
      <c r="L63" s="60"/>
      <c r="M63" s="58"/>
      <c r="N63" s="59"/>
      <c r="O63" s="59"/>
      <c r="P63" s="59"/>
      <c r="Q63" s="59"/>
      <c r="R63" s="59"/>
      <c r="S63" s="90"/>
      <c r="T63" s="59"/>
      <c r="U63" s="13"/>
      <c r="V63" s="40"/>
      <c r="W63" s="40"/>
      <c r="X63" s="40"/>
      <c r="Y63" s="40"/>
    </row>
    <row r="64" spans="1:25" ht="15" customHeight="1">
      <c r="A64" s="61"/>
      <c r="B64" s="61"/>
      <c r="C64" s="61"/>
      <c r="D64" s="61"/>
      <c r="E64" s="61"/>
      <c r="F64" s="61"/>
      <c r="G64" s="61"/>
      <c r="H64" s="61"/>
      <c r="I64" s="62"/>
      <c r="J64" s="61"/>
      <c r="K64" s="61"/>
      <c r="L64" s="61"/>
      <c r="M64" s="61"/>
      <c r="N64" s="61"/>
      <c r="O64" s="61"/>
      <c r="P64" s="61"/>
      <c r="Q64" s="61"/>
      <c r="R64" s="62"/>
      <c r="S64" s="37"/>
      <c r="T64" s="62"/>
      <c r="U64" s="37"/>
      <c r="V64" s="40"/>
      <c r="W64" s="40"/>
      <c r="X64" s="40"/>
      <c r="Y64" s="40"/>
    </row>
    <row r="65" spans="1:26" ht="15" customHeight="1">
      <c r="A65" s="53" t="s">
        <v>67</v>
      </c>
      <c r="B65" s="50"/>
      <c r="C65" s="50"/>
      <c r="D65" s="50"/>
      <c r="E65" s="50"/>
      <c r="F65" s="50"/>
      <c r="G65" s="50"/>
      <c r="H65" s="50"/>
      <c r="I65" s="50"/>
      <c r="J65" s="50"/>
      <c r="K65" s="50"/>
      <c r="L65" s="134" t="str">
        <f>IF(O25=FALSE,"Based on your commissioning choice, you may SKIP this section.",IF(U93,"You MUST complete schedule(s)"&amp;U94,IF(U90&lt;0,"Section is NOT complete.  Please fix the schedule indicated.",IF(U90=0,"You MUST complete at least one schedule.","SECTION COMPLETE"))))</f>
        <v>You MUST complete schedule(s)  #1</v>
      </c>
      <c r="M65" s="134"/>
      <c r="N65" s="134"/>
      <c r="O65" s="134"/>
      <c r="P65" s="134"/>
      <c r="Q65" s="134"/>
      <c r="R65" s="134"/>
      <c r="S65" s="134"/>
      <c r="T65" s="134"/>
      <c r="U65" s="134"/>
      <c r="V65" s="40"/>
      <c r="W65" s="40"/>
      <c r="X65" s="40"/>
      <c r="Y65" s="40"/>
    </row>
    <row r="66" spans="1:26" ht="15" customHeight="1" thickBot="1">
      <c r="A66" s="63" t="s">
        <v>64</v>
      </c>
      <c r="B66" s="50"/>
      <c r="C66" s="50"/>
      <c r="D66" s="50"/>
      <c r="E66" s="50"/>
      <c r="F66" s="50"/>
      <c r="G66" s="50"/>
      <c r="H66" s="50"/>
      <c r="I66" s="50"/>
      <c r="J66" s="50"/>
      <c r="K66" s="50"/>
      <c r="L66" s="135"/>
      <c r="M66" s="135"/>
      <c r="N66" s="135"/>
      <c r="O66" s="135"/>
      <c r="P66" s="135"/>
      <c r="Q66" s="135"/>
      <c r="R66" s="135"/>
      <c r="S66" s="135"/>
      <c r="T66" s="135"/>
      <c r="U66" s="135"/>
      <c r="V66" s="40"/>
      <c r="W66" s="40"/>
      <c r="X66" s="40"/>
      <c r="Y66" s="40"/>
    </row>
    <row r="67" spans="1:26" ht="15" customHeight="1" thickBot="1">
      <c r="A67" s="23"/>
      <c r="B67" s="122" t="str">
        <f>"SCHEDULE #1 - "&amp;IF(B90=0,"NO ENTRY",IF(B90=1,"OK","INCOMPLETE"))</f>
        <v>SCHEDULE #1 - NO ENTRY</v>
      </c>
      <c r="C67" s="123"/>
      <c r="D67" s="123"/>
      <c r="E67" s="124"/>
      <c r="F67" s="122" t="str">
        <f>"SCHEDULE #2 - "&amp;IF(F90=0,"NO ENTRY",IF(F90=1,"OK","INCOMPLETE"))</f>
        <v>SCHEDULE #2 - NO ENTRY</v>
      </c>
      <c r="G67" s="123"/>
      <c r="H67" s="123"/>
      <c r="I67" s="124"/>
      <c r="J67" s="122" t="str">
        <f>"SCHEDULE #3 - "&amp;IF(J90=0,"NO ENTRY",IF(J90=1,"OK","INCOMPLETE"))</f>
        <v>SCHEDULE #3 - NO ENTRY</v>
      </c>
      <c r="K67" s="123"/>
      <c r="L67" s="123"/>
      <c r="M67" s="124"/>
      <c r="N67" s="122" t="str">
        <f>"SCHEDULE #4 - "&amp;IF(N90=0,"NO ENTRY",IF(N90=1,"OK","INCOMPLETE"))</f>
        <v>SCHEDULE #4 - NO ENTRY</v>
      </c>
      <c r="O67" s="123"/>
      <c r="P67" s="123"/>
      <c r="Q67" s="124"/>
      <c r="R67" s="122" t="str">
        <f>"SCHEDULE #5 - "&amp;IF(R90=0,"NO ENTRY",IF(R90=1,"OK","INCOMPLETE"))</f>
        <v>SCHEDULE #5 - NO ENTRY</v>
      </c>
      <c r="S67" s="123"/>
      <c r="T67" s="123"/>
      <c r="U67" s="124"/>
      <c r="V67" s="40"/>
      <c r="W67" s="40"/>
      <c r="X67" s="40"/>
      <c r="Y67" s="40"/>
    </row>
    <row r="68" spans="1:26" ht="15" customHeight="1">
      <c r="A68" s="24" t="s">
        <v>10</v>
      </c>
      <c r="B68" s="111" t="s">
        <v>32</v>
      </c>
      <c r="C68" s="112" t="s">
        <v>33</v>
      </c>
      <c r="D68" s="112"/>
      <c r="E68" s="127" t="s">
        <v>1</v>
      </c>
      <c r="F68" s="111" t="s">
        <v>32</v>
      </c>
      <c r="G68" s="112" t="s">
        <v>33</v>
      </c>
      <c r="H68" s="112"/>
      <c r="I68" s="127" t="s">
        <v>1</v>
      </c>
      <c r="J68" s="111" t="s">
        <v>32</v>
      </c>
      <c r="K68" s="112" t="s">
        <v>33</v>
      </c>
      <c r="L68" s="112"/>
      <c r="M68" s="127" t="s">
        <v>1</v>
      </c>
      <c r="N68" s="111" t="s">
        <v>32</v>
      </c>
      <c r="O68" s="112" t="s">
        <v>33</v>
      </c>
      <c r="P68" s="112"/>
      <c r="Q68" s="127" t="s">
        <v>1</v>
      </c>
      <c r="R68" s="111" t="s">
        <v>32</v>
      </c>
      <c r="S68" s="112" t="s">
        <v>33</v>
      </c>
      <c r="T68" s="112"/>
      <c r="U68" s="127" t="s">
        <v>1</v>
      </c>
      <c r="V68" s="40"/>
      <c r="W68" s="40"/>
      <c r="X68" s="40"/>
      <c r="Y68" s="40" t="s">
        <v>76</v>
      </c>
    </row>
    <row r="69" spans="1:26" ht="15" customHeight="1" thickBot="1">
      <c r="A69" s="25"/>
      <c r="B69" s="113"/>
      <c r="C69" s="114"/>
      <c r="D69" s="114"/>
      <c r="E69" s="128"/>
      <c r="F69" s="113"/>
      <c r="G69" s="114"/>
      <c r="H69" s="114"/>
      <c r="I69" s="128"/>
      <c r="J69" s="113"/>
      <c r="K69" s="114"/>
      <c r="L69" s="114"/>
      <c r="M69" s="128"/>
      <c r="N69" s="113"/>
      <c r="O69" s="114"/>
      <c r="P69" s="114"/>
      <c r="Q69" s="128"/>
      <c r="R69" s="113"/>
      <c r="S69" s="114"/>
      <c r="T69" s="114"/>
      <c r="U69" s="128"/>
      <c r="V69" s="40"/>
      <c r="W69" s="40"/>
      <c r="X69" s="40"/>
      <c r="Y69" s="40"/>
    </row>
    <row r="70" spans="1:26" ht="15" customHeight="1">
      <c r="A70" s="21" t="s">
        <v>12</v>
      </c>
      <c r="B70" s="4"/>
      <c r="C70" s="100" t="s">
        <v>7</v>
      </c>
      <c r="D70" s="100"/>
      <c r="E70" s="5"/>
      <c r="F70" s="4"/>
      <c r="G70" s="100" t="s">
        <v>7</v>
      </c>
      <c r="H70" s="100"/>
      <c r="I70" s="6"/>
      <c r="J70" s="4"/>
      <c r="K70" s="100" t="s">
        <v>7</v>
      </c>
      <c r="L70" s="100"/>
      <c r="M70" s="6"/>
      <c r="N70" s="4"/>
      <c r="O70" s="100" t="s">
        <v>7</v>
      </c>
      <c r="P70" s="100"/>
      <c r="Q70" s="6"/>
      <c r="R70" s="4"/>
      <c r="S70" s="100" t="s">
        <v>7</v>
      </c>
      <c r="T70" s="100"/>
      <c r="U70" s="6"/>
      <c r="V70" s="40"/>
      <c r="W70" s="40"/>
      <c r="X70" s="40"/>
      <c r="Y70" s="40"/>
    </row>
    <row r="71" spans="1:26" ht="15" customHeight="1">
      <c r="A71" s="21" t="s">
        <v>13</v>
      </c>
      <c r="B71" s="4"/>
      <c r="C71" s="100" t="s">
        <v>7</v>
      </c>
      <c r="D71" s="100"/>
      <c r="E71" s="6"/>
      <c r="F71" s="4"/>
      <c r="G71" s="100" t="s">
        <v>7</v>
      </c>
      <c r="H71" s="100"/>
      <c r="I71" s="6"/>
      <c r="J71" s="4"/>
      <c r="K71" s="100" t="s">
        <v>7</v>
      </c>
      <c r="L71" s="100"/>
      <c r="M71" s="6"/>
      <c r="N71" s="4"/>
      <c r="O71" s="100" t="s">
        <v>7</v>
      </c>
      <c r="P71" s="100"/>
      <c r="Q71" s="5"/>
      <c r="R71" s="4"/>
      <c r="S71" s="100" t="s">
        <v>7</v>
      </c>
      <c r="T71" s="100"/>
      <c r="U71" s="6"/>
      <c r="V71" s="40"/>
      <c r="W71" s="40"/>
      <c r="X71" s="40"/>
      <c r="Y71" s="40"/>
    </row>
    <row r="72" spans="1:26" ht="15" customHeight="1">
      <c r="A72" s="21" t="s">
        <v>14</v>
      </c>
      <c r="B72" s="4"/>
      <c r="C72" s="100" t="s">
        <v>7</v>
      </c>
      <c r="D72" s="100"/>
      <c r="E72" s="6"/>
      <c r="F72" s="4"/>
      <c r="G72" s="100" t="s">
        <v>7</v>
      </c>
      <c r="H72" s="100"/>
      <c r="I72" s="6"/>
      <c r="J72" s="4"/>
      <c r="K72" s="100" t="s">
        <v>7</v>
      </c>
      <c r="L72" s="100"/>
      <c r="M72" s="6"/>
      <c r="N72" s="4"/>
      <c r="O72" s="100" t="s">
        <v>7</v>
      </c>
      <c r="P72" s="100"/>
      <c r="Q72" s="6"/>
      <c r="R72" s="4"/>
      <c r="S72" s="100" t="s">
        <v>7</v>
      </c>
      <c r="T72" s="100"/>
      <c r="U72" s="6"/>
      <c r="V72" s="40"/>
      <c r="W72" s="40"/>
      <c r="X72" s="40"/>
      <c r="Y72" s="40"/>
    </row>
    <row r="73" spans="1:26" ht="15" customHeight="1">
      <c r="A73" s="21" t="s">
        <v>15</v>
      </c>
      <c r="B73" s="7"/>
      <c r="C73" s="100" t="s">
        <v>7</v>
      </c>
      <c r="D73" s="100"/>
      <c r="E73" s="5"/>
      <c r="F73" s="4"/>
      <c r="G73" s="100" t="s">
        <v>7</v>
      </c>
      <c r="H73" s="100"/>
      <c r="I73" s="6"/>
      <c r="J73" s="4"/>
      <c r="K73" s="100" t="s">
        <v>7</v>
      </c>
      <c r="L73" s="100"/>
      <c r="M73" s="6"/>
      <c r="N73" s="4"/>
      <c r="O73" s="100" t="s">
        <v>7</v>
      </c>
      <c r="P73" s="100"/>
      <c r="Q73" s="6"/>
      <c r="R73" s="4"/>
      <c r="S73" s="100" t="s">
        <v>7</v>
      </c>
      <c r="T73" s="100"/>
      <c r="U73" s="6"/>
      <c r="V73" s="40"/>
      <c r="W73" s="40"/>
      <c r="X73" s="40"/>
      <c r="Y73" s="40"/>
    </row>
    <row r="74" spans="1:26" ht="15" customHeight="1">
      <c r="A74" s="21" t="s">
        <v>16</v>
      </c>
      <c r="B74" s="8"/>
      <c r="C74" s="100" t="s">
        <v>7</v>
      </c>
      <c r="D74" s="100"/>
      <c r="E74" s="9"/>
      <c r="F74" s="8"/>
      <c r="G74" s="100" t="s">
        <v>7</v>
      </c>
      <c r="H74" s="100"/>
      <c r="I74" s="9"/>
      <c r="J74" s="8"/>
      <c r="K74" s="100" t="s">
        <v>7</v>
      </c>
      <c r="L74" s="100"/>
      <c r="M74" s="9"/>
      <c r="N74" s="8"/>
      <c r="O74" s="100" t="s">
        <v>7</v>
      </c>
      <c r="P74" s="100"/>
      <c r="Q74" s="9"/>
      <c r="R74" s="8"/>
      <c r="S74" s="100" t="s">
        <v>7</v>
      </c>
      <c r="T74" s="100"/>
      <c r="U74" s="9"/>
      <c r="V74" s="44"/>
      <c r="W74" s="40"/>
      <c r="X74" s="40"/>
      <c r="Y74" s="40"/>
    </row>
    <row r="75" spans="1:26" ht="15" customHeight="1">
      <c r="A75" s="26" t="s">
        <v>17</v>
      </c>
      <c r="B75" s="8"/>
      <c r="C75" s="100" t="s">
        <v>7</v>
      </c>
      <c r="D75" s="100"/>
      <c r="E75" s="9"/>
      <c r="F75" s="8"/>
      <c r="G75" s="100" t="s">
        <v>7</v>
      </c>
      <c r="H75" s="100"/>
      <c r="I75" s="9"/>
      <c r="J75" s="8"/>
      <c r="K75" s="100" t="s">
        <v>7</v>
      </c>
      <c r="L75" s="100"/>
      <c r="M75" s="9"/>
      <c r="N75" s="8"/>
      <c r="O75" s="100" t="s">
        <v>7</v>
      </c>
      <c r="P75" s="100"/>
      <c r="Q75" s="9"/>
      <c r="R75" s="8"/>
      <c r="S75" s="100" t="s">
        <v>7</v>
      </c>
      <c r="T75" s="100"/>
      <c r="U75" s="9"/>
      <c r="V75" s="44"/>
      <c r="W75" s="40"/>
      <c r="X75" s="40"/>
      <c r="Y75" s="40"/>
    </row>
    <row r="76" spans="1:26" ht="15" customHeight="1">
      <c r="A76" s="27" t="s">
        <v>18</v>
      </c>
      <c r="B76" s="8"/>
      <c r="C76" s="100" t="s">
        <v>7</v>
      </c>
      <c r="D76" s="100"/>
      <c r="E76" s="9"/>
      <c r="F76" s="8"/>
      <c r="G76" s="100" t="s">
        <v>7</v>
      </c>
      <c r="H76" s="100"/>
      <c r="I76" s="9"/>
      <c r="J76" s="8"/>
      <c r="K76" s="100" t="s">
        <v>7</v>
      </c>
      <c r="L76" s="100"/>
      <c r="M76" s="9"/>
      <c r="N76" s="8"/>
      <c r="O76" s="100" t="s">
        <v>7</v>
      </c>
      <c r="P76" s="100"/>
      <c r="Q76" s="9"/>
      <c r="R76" s="8"/>
      <c r="S76" s="100" t="s">
        <v>7</v>
      </c>
      <c r="T76" s="100"/>
      <c r="U76" s="9"/>
      <c r="V76" s="44"/>
      <c r="W76" s="40"/>
      <c r="X76" s="40"/>
      <c r="Y76" s="40"/>
    </row>
    <row r="77" spans="1:26" ht="15" customHeight="1" thickBot="1">
      <c r="A77" s="28" t="s">
        <v>19</v>
      </c>
      <c r="B77" s="10"/>
      <c r="C77" s="101" t="s">
        <v>7</v>
      </c>
      <c r="D77" s="101"/>
      <c r="E77" s="11"/>
      <c r="F77" s="10"/>
      <c r="G77" s="101" t="s">
        <v>7</v>
      </c>
      <c r="H77" s="101"/>
      <c r="I77" s="11"/>
      <c r="J77" s="10"/>
      <c r="K77" s="101" t="s">
        <v>7</v>
      </c>
      <c r="L77" s="101"/>
      <c r="M77" s="11"/>
      <c r="N77" s="10"/>
      <c r="O77" s="101" t="s">
        <v>7</v>
      </c>
      <c r="P77" s="101"/>
      <c r="Q77" s="11"/>
      <c r="R77" s="10"/>
      <c r="S77" s="101" t="s">
        <v>7</v>
      </c>
      <c r="T77" s="101"/>
      <c r="U77" s="11"/>
      <c r="V77" s="74"/>
      <c r="W77" s="36"/>
      <c r="X77" s="40"/>
      <c r="Y77" s="40"/>
    </row>
    <row r="78" spans="1:26" ht="15" customHeight="1">
      <c r="A78" s="37"/>
      <c r="B78" s="37"/>
      <c r="C78" s="61"/>
      <c r="D78" s="61"/>
      <c r="E78" s="37"/>
      <c r="F78" s="37"/>
      <c r="G78" s="61"/>
      <c r="H78" s="61"/>
      <c r="I78" s="37"/>
      <c r="J78" s="37"/>
      <c r="K78" s="61"/>
      <c r="L78" s="61"/>
      <c r="M78" s="37"/>
      <c r="N78" s="37"/>
      <c r="O78" s="61"/>
      <c r="P78" s="61"/>
      <c r="Q78" s="37"/>
      <c r="R78" s="37"/>
      <c r="S78" s="61"/>
      <c r="T78" s="61"/>
      <c r="U78" s="37"/>
      <c r="V78" s="74"/>
      <c r="W78" s="36"/>
      <c r="X78" s="40"/>
      <c r="Y78" s="40"/>
    </row>
    <row r="79" spans="1:26" ht="15" customHeight="1">
      <c r="A79" s="44"/>
      <c r="B79" s="44" t="s">
        <v>57</v>
      </c>
      <c r="C79" s="44" t="s">
        <v>58</v>
      </c>
      <c r="D79" s="40" t="s">
        <v>59</v>
      </c>
      <c r="E79" s="40"/>
      <c r="F79" s="44" t="s">
        <v>57</v>
      </c>
      <c r="G79" s="44" t="s">
        <v>58</v>
      </c>
      <c r="H79" s="40"/>
      <c r="I79" s="40"/>
      <c r="J79" s="44" t="s">
        <v>57</v>
      </c>
      <c r="K79" s="44" t="s">
        <v>58</v>
      </c>
      <c r="L79" s="40"/>
      <c r="M79" s="40"/>
      <c r="N79" s="44" t="s">
        <v>57</v>
      </c>
      <c r="O79" s="44" t="s">
        <v>58</v>
      </c>
      <c r="P79" s="40"/>
      <c r="Q79" s="40"/>
      <c r="R79" s="44" t="s">
        <v>57</v>
      </c>
      <c r="S79" s="44" t="s">
        <v>58</v>
      </c>
      <c r="T79" s="40"/>
      <c r="U79" s="40"/>
      <c r="V79" s="96"/>
      <c r="W79" s="80"/>
      <c r="X79" s="40"/>
      <c r="Y79" s="40"/>
      <c r="Z79" s="35"/>
    </row>
    <row r="80" spans="1:26">
      <c r="A80" s="40"/>
      <c r="B80" s="40" t="b">
        <f>AND(C70="No Entry",B70="",E70="")</f>
        <v>1</v>
      </c>
      <c r="C80" s="40" t="b">
        <f>OR(AND(C70="Power on at Panel",B70="",E70&lt;&gt;"",E70&gt;=0,E70&lt;=100),AND(C70="24 hour",B70&lt;&gt;"",B70&gt;=0,E70&lt;&gt;"",E70&gt;=0,E70&lt;=100),AND(OR(C70="AM",C70="PM"),B70&lt;&gt;"",B70&gt;=100,B70&lt;1259,E70&lt;&gt;"",E70&gt;=0,E70&lt;=100),AND(OR(C70="From Sunrise",C70="From Sunset"),B70&gt;-559,B70&lt;559,E70&lt;&gt;"",E70&gt;=0,E70&lt;=100))</f>
        <v>0</v>
      </c>
      <c r="D80" s="40" t="b">
        <f>AND(B80=FALSE,C80=FALSE)</f>
        <v>0</v>
      </c>
      <c r="E80" s="40"/>
      <c r="F80" s="40" t="b">
        <f t="shared" ref="F80:F87" si="6">AND(G70="No Entry",F70="",I70="")</f>
        <v>1</v>
      </c>
      <c r="G80" s="40" t="b">
        <f t="shared" ref="G80:G87" si="7">OR(AND(G70="Power on at Panel",F70="",I70&lt;&gt;"",I70&gt;=0,I70&lt;=100),AND(G70="24 hour",F70&lt;&gt;"",F70&gt;=0,I70&lt;&gt;"",I70&gt;=0,I70&lt;=100),AND(OR(G70="AM",G70="PM"),F70&lt;&gt;"",F70&gt;=100,F70&lt;1259,I70&lt;&gt;"",I70&gt;=0,I70&lt;=100),AND(OR(G70="From Sunrise",G70="From Sunset"),F70&gt;-559,F70&lt;559,I70&lt;&gt;"",I70&gt;=0,I70&lt;=100))</f>
        <v>0</v>
      </c>
      <c r="H80" s="40" t="b">
        <f t="shared" ref="H80:H87" si="8">AND(F80=FALSE,G80=FALSE)</f>
        <v>0</v>
      </c>
      <c r="I80" s="40"/>
      <c r="J80" s="40" t="b">
        <f t="shared" ref="J80:J87" si="9">AND(K70="No Entry",J70="",M70="")</f>
        <v>1</v>
      </c>
      <c r="K80" s="40" t="b">
        <f t="shared" ref="K80:K87" si="10">OR(AND(K70="Power on at Panel",J70="",M70&lt;&gt;"",M70&gt;=0,M70&lt;=100),AND(K70="24 hour",J70&lt;&gt;"",J70&gt;=0,M70&lt;&gt;"",M70&gt;=0,M70&lt;=100),AND(OR(K70="AM",K70="PM"),J70&lt;&gt;"",J70&gt;=100,J70&lt;1259,M70&lt;&gt;"",M70&gt;=0,M70&lt;=100),AND(OR(K70="From Sunrise",K70="From Sunset"),J70&gt;-559,J70&lt;559,M70&lt;&gt;"",M70&gt;=0,M70&lt;=100))</f>
        <v>0</v>
      </c>
      <c r="L80" s="40" t="b">
        <f t="shared" ref="L80:L87" si="11">AND(J80=FALSE,K80=FALSE)</f>
        <v>0</v>
      </c>
      <c r="M80" s="40"/>
      <c r="N80" s="40" t="b">
        <f t="shared" ref="N80:N87" si="12">AND(O70="No Entry",N70="",Q70="")</f>
        <v>1</v>
      </c>
      <c r="O80" s="40" t="b">
        <f t="shared" ref="O80:O87" si="13">OR(AND(O70="Power on at Panel",N70="",Q70&lt;&gt;"",Q70&gt;=0,Q70&lt;=100),AND(O70="24 hour",N70&lt;&gt;"",N70&gt;=0,Q70&lt;&gt;"",Q70&gt;=0,Q70&lt;=100),AND(OR(O70="AM",O70="PM"),N70&lt;&gt;"",N70&gt;=100,N70&lt;1259,Q70&lt;&gt;"",Q70&gt;=0,Q70&lt;=100),AND(OR(O70="From Sunrise",O70="From Sunset"),N70&gt;-559,N70&lt;559,Q70&lt;&gt;"",Q70&gt;=0,Q70&lt;=100))</f>
        <v>0</v>
      </c>
      <c r="P80" s="40" t="b">
        <f t="shared" ref="P80:P87" si="14">AND(N80=FALSE,O80=FALSE)</f>
        <v>0</v>
      </c>
      <c r="Q80" s="40"/>
      <c r="R80" s="40" t="b">
        <f t="shared" ref="R80:R87" si="15">AND(S70="No Entry",R70="",U70="")</f>
        <v>1</v>
      </c>
      <c r="S80" s="40" t="b">
        <f t="shared" ref="S80:S87" si="16">OR(AND(S70="Power on at Panel",R70="",U70&lt;&gt;"",U70&gt;=0,U70&lt;=100),AND(S70="24 hour",R70&lt;&gt;"",R70&gt;=0,U70&lt;&gt;"",U70&gt;=0,U70&lt;=100),AND(OR(S70="AM",S70="PM"),R70&lt;&gt;"",R70&gt;=100,R70&lt;1259,U70&lt;&gt;"",U70&gt;=0,U70&lt;=100),AND(OR(S70="From Sunrise",S70="From Sunset"),R70&gt;-559,R70&lt;559,U70&lt;&gt;"",U70&gt;=0,U70&lt;=100))</f>
        <v>0</v>
      </c>
      <c r="T80" s="40" t="b">
        <f t="shared" ref="T80:T87" si="17">AND(R80=FALSE,S80=FALSE)</f>
        <v>0</v>
      </c>
      <c r="U80" s="40"/>
      <c r="V80" s="83"/>
      <c r="W80" s="80"/>
      <c r="X80" s="40"/>
      <c r="Y80" s="40"/>
    </row>
    <row r="81" spans="1:25">
      <c r="A81" s="40"/>
      <c r="B81" s="40" t="b">
        <f t="shared" ref="B81:B87" si="18">AND(C71="No Entry",B71="",E71="")</f>
        <v>1</v>
      </c>
      <c r="C81" s="40" t="b">
        <f t="shared" ref="C81:C87" si="19">OR(AND(C71="Power on at Panel",B71="",E71&lt;&gt;"",E71&gt;=0,E71&lt;=100),AND(C71="24 hour",B71&lt;&gt;"",B71&gt;=0,E71&lt;&gt;"",E71&gt;=0,E71&lt;=100),AND(OR(C71="AM",C71="PM"),B71&lt;&gt;"",B71&gt;=100,B71&lt;1259,E71&lt;&gt;"",E71&gt;=0,E71&lt;=100),AND(OR(C71="From Sunrise",C71="From Sunset"),B71&gt;-559,B71&lt;559,E71&lt;&gt;"",E71&gt;=0,E71&lt;=100))</f>
        <v>0</v>
      </c>
      <c r="D81" s="40" t="b">
        <f t="shared" ref="D81:D87" si="20">AND(B81=FALSE,C81=FALSE)</f>
        <v>0</v>
      </c>
      <c r="E81" s="40"/>
      <c r="F81" s="40" t="b">
        <f t="shared" si="6"/>
        <v>1</v>
      </c>
      <c r="G81" s="40" t="b">
        <f t="shared" si="7"/>
        <v>0</v>
      </c>
      <c r="H81" s="40" t="b">
        <f t="shared" si="8"/>
        <v>0</v>
      </c>
      <c r="I81" s="40"/>
      <c r="J81" s="40" t="b">
        <f t="shared" si="9"/>
        <v>1</v>
      </c>
      <c r="K81" s="40" t="b">
        <f t="shared" si="10"/>
        <v>0</v>
      </c>
      <c r="L81" s="40" t="b">
        <f t="shared" si="11"/>
        <v>0</v>
      </c>
      <c r="M81" s="40"/>
      <c r="N81" s="40" t="b">
        <f t="shared" si="12"/>
        <v>1</v>
      </c>
      <c r="O81" s="40" t="b">
        <f t="shared" si="13"/>
        <v>0</v>
      </c>
      <c r="P81" s="40" t="b">
        <f t="shared" si="14"/>
        <v>0</v>
      </c>
      <c r="Q81" s="40"/>
      <c r="R81" s="40" t="b">
        <f t="shared" si="15"/>
        <v>1</v>
      </c>
      <c r="S81" s="40" t="b">
        <f t="shared" si="16"/>
        <v>0</v>
      </c>
      <c r="T81" s="40" t="b">
        <f t="shared" si="17"/>
        <v>0</v>
      </c>
      <c r="U81" s="40"/>
      <c r="V81" s="83"/>
      <c r="W81" s="80"/>
      <c r="X81" s="40"/>
      <c r="Y81" s="40"/>
    </row>
    <row r="82" spans="1:25">
      <c r="A82" s="40"/>
      <c r="B82" s="40" t="b">
        <f t="shared" si="18"/>
        <v>1</v>
      </c>
      <c r="C82" s="40" t="b">
        <f t="shared" si="19"/>
        <v>0</v>
      </c>
      <c r="D82" s="40" t="b">
        <f t="shared" si="20"/>
        <v>0</v>
      </c>
      <c r="E82" s="40"/>
      <c r="F82" s="40" t="b">
        <f t="shared" si="6"/>
        <v>1</v>
      </c>
      <c r="G82" s="40" t="b">
        <f t="shared" si="7"/>
        <v>0</v>
      </c>
      <c r="H82" s="40" t="b">
        <f t="shared" si="8"/>
        <v>0</v>
      </c>
      <c r="I82" s="40"/>
      <c r="J82" s="40" t="b">
        <f t="shared" si="9"/>
        <v>1</v>
      </c>
      <c r="K82" s="40" t="b">
        <f t="shared" si="10"/>
        <v>0</v>
      </c>
      <c r="L82" s="40" t="b">
        <f t="shared" si="11"/>
        <v>0</v>
      </c>
      <c r="M82" s="40"/>
      <c r="N82" s="40" t="b">
        <f t="shared" si="12"/>
        <v>1</v>
      </c>
      <c r="O82" s="40" t="b">
        <f t="shared" si="13"/>
        <v>0</v>
      </c>
      <c r="P82" s="40" t="b">
        <f t="shared" si="14"/>
        <v>0</v>
      </c>
      <c r="Q82" s="40"/>
      <c r="R82" s="40" t="b">
        <f t="shared" si="15"/>
        <v>1</v>
      </c>
      <c r="S82" s="40" t="b">
        <f t="shared" si="16"/>
        <v>0</v>
      </c>
      <c r="T82" s="40" t="b">
        <f t="shared" si="17"/>
        <v>0</v>
      </c>
      <c r="U82" s="40"/>
      <c r="V82" s="83"/>
      <c r="W82" s="80"/>
      <c r="X82" s="40"/>
      <c r="Y82" s="40"/>
    </row>
    <row r="83" spans="1:25">
      <c r="A83" s="40"/>
      <c r="B83" s="40" t="b">
        <f t="shared" si="18"/>
        <v>1</v>
      </c>
      <c r="C83" s="40" t="b">
        <f t="shared" si="19"/>
        <v>0</v>
      </c>
      <c r="D83" s="40" t="b">
        <f t="shared" si="20"/>
        <v>0</v>
      </c>
      <c r="E83" s="40"/>
      <c r="F83" s="40" t="b">
        <f t="shared" si="6"/>
        <v>1</v>
      </c>
      <c r="G83" s="40" t="b">
        <f t="shared" si="7"/>
        <v>0</v>
      </c>
      <c r="H83" s="40" t="b">
        <f t="shared" si="8"/>
        <v>0</v>
      </c>
      <c r="I83" s="40"/>
      <c r="J83" s="40" t="b">
        <f t="shared" si="9"/>
        <v>1</v>
      </c>
      <c r="K83" s="40" t="b">
        <f t="shared" si="10"/>
        <v>0</v>
      </c>
      <c r="L83" s="40" t="b">
        <f t="shared" si="11"/>
        <v>0</v>
      </c>
      <c r="M83" s="40"/>
      <c r="N83" s="40" t="b">
        <f t="shared" si="12"/>
        <v>1</v>
      </c>
      <c r="O83" s="40" t="b">
        <f t="shared" si="13"/>
        <v>0</v>
      </c>
      <c r="P83" s="40" t="b">
        <f t="shared" si="14"/>
        <v>0</v>
      </c>
      <c r="Q83" s="40"/>
      <c r="R83" s="40" t="b">
        <f t="shared" si="15"/>
        <v>1</v>
      </c>
      <c r="S83" s="40" t="b">
        <f t="shared" si="16"/>
        <v>0</v>
      </c>
      <c r="T83" s="40" t="b">
        <f t="shared" si="17"/>
        <v>0</v>
      </c>
      <c r="U83" s="40"/>
      <c r="V83" s="83"/>
      <c r="W83" s="80"/>
      <c r="X83" s="40"/>
      <c r="Y83" s="40"/>
    </row>
    <row r="84" spans="1:25">
      <c r="A84" s="40"/>
      <c r="B84" s="40" t="b">
        <f t="shared" si="18"/>
        <v>1</v>
      </c>
      <c r="C84" s="40" t="b">
        <f t="shared" si="19"/>
        <v>0</v>
      </c>
      <c r="D84" s="40" t="b">
        <f t="shared" si="20"/>
        <v>0</v>
      </c>
      <c r="E84" s="40"/>
      <c r="F84" s="40" t="b">
        <f t="shared" si="6"/>
        <v>1</v>
      </c>
      <c r="G84" s="40" t="b">
        <f t="shared" si="7"/>
        <v>0</v>
      </c>
      <c r="H84" s="40" t="b">
        <f t="shared" si="8"/>
        <v>0</v>
      </c>
      <c r="I84" s="40"/>
      <c r="J84" s="40" t="b">
        <f t="shared" si="9"/>
        <v>1</v>
      </c>
      <c r="K84" s="40" t="b">
        <f t="shared" si="10"/>
        <v>0</v>
      </c>
      <c r="L84" s="40" t="b">
        <f t="shared" si="11"/>
        <v>0</v>
      </c>
      <c r="M84" s="40"/>
      <c r="N84" s="40" t="b">
        <f t="shared" si="12"/>
        <v>1</v>
      </c>
      <c r="O84" s="40" t="b">
        <f t="shared" si="13"/>
        <v>0</v>
      </c>
      <c r="P84" s="40" t="b">
        <f t="shared" si="14"/>
        <v>0</v>
      </c>
      <c r="Q84" s="40"/>
      <c r="R84" s="40" t="b">
        <f t="shared" si="15"/>
        <v>1</v>
      </c>
      <c r="S84" s="40" t="b">
        <f t="shared" si="16"/>
        <v>0</v>
      </c>
      <c r="T84" s="40" t="b">
        <f t="shared" si="17"/>
        <v>0</v>
      </c>
      <c r="U84" s="40"/>
      <c r="V84" s="83"/>
      <c r="W84" s="80"/>
      <c r="X84" s="40"/>
      <c r="Y84" s="40"/>
    </row>
    <row r="85" spans="1:25">
      <c r="A85" s="40"/>
      <c r="B85" s="40" t="b">
        <f t="shared" si="18"/>
        <v>1</v>
      </c>
      <c r="C85" s="40" t="b">
        <f t="shared" si="19"/>
        <v>0</v>
      </c>
      <c r="D85" s="40" t="b">
        <f t="shared" si="20"/>
        <v>0</v>
      </c>
      <c r="E85" s="40"/>
      <c r="F85" s="40" t="b">
        <f t="shared" si="6"/>
        <v>1</v>
      </c>
      <c r="G85" s="40" t="b">
        <f t="shared" si="7"/>
        <v>0</v>
      </c>
      <c r="H85" s="40" t="b">
        <f t="shared" si="8"/>
        <v>0</v>
      </c>
      <c r="I85" s="40"/>
      <c r="J85" s="40" t="b">
        <f t="shared" si="9"/>
        <v>1</v>
      </c>
      <c r="K85" s="40" t="b">
        <f t="shared" si="10"/>
        <v>0</v>
      </c>
      <c r="L85" s="40" t="b">
        <f t="shared" si="11"/>
        <v>0</v>
      </c>
      <c r="M85" s="40"/>
      <c r="N85" s="40" t="b">
        <f t="shared" si="12"/>
        <v>1</v>
      </c>
      <c r="O85" s="40" t="b">
        <f t="shared" si="13"/>
        <v>0</v>
      </c>
      <c r="P85" s="40" t="b">
        <f t="shared" si="14"/>
        <v>0</v>
      </c>
      <c r="Q85" s="40"/>
      <c r="R85" s="40" t="b">
        <f t="shared" si="15"/>
        <v>1</v>
      </c>
      <c r="S85" s="40" t="b">
        <f t="shared" si="16"/>
        <v>0</v>
      </c>
      <c r="T85" s="40" t="b">
        <f t="shared" si="17"/>
        <v>0</v>
      </c>
      <c r="U85" s="40"/>
      <c r="V85" s="83"/>
      <c r="W85" s="80"/>
      <c r="X85" s="40"/>
      <c r="Y85" s="40"/>
    </row>
    <row r="86" spans="1:25">
      <c r="A86" s="40"/>
      <c r="B86" s="40" t="b">
        <f t="shared" si="18"/>
        <v>1</v>
      </c>
      <c r="C86" s="40" t="b">
        <f t="shared" si="19"/>
        <v>0</v>
      </c>
      <c r="D86" s="40" t="b">
        <f t="shared" si="20"/>
        <v>0</v>
      </c>
      <c r="E86" s="40"/>
      <c r="F86" s="40" t="b">
        <f t="shared" si="6"/>
        <v>1</v>
      </c>
      <c r="G86" s="40" t="b">
        <f t="shared" si="7"/>
        <v>0</v>
      </c>
      <c r="H86" s="40" t="b">
        <f t="shared" si="8"/>
        <v>0</v>
      </c>
      <c r="I86" s="40"/>
      <c r="J86" s="40" t="b">
        <f t="shared" si="9"/>
        <v>1</v>
      </c>
      <c r="K86" s="40" t="b">
        <f t="shared" si="10"/>
        <v>0</v>
      </c>
      <c r="L86" s="40" t="b">
        <f t="shared" si="11"/>
        <v>0</v>
      </c>
      <c r="M86" s="40"/>
      <c r="N86" s="40" t="b">
        <f t="shared" si="12"/>
        <v>1</v>
      </c>
      <c r="O86" s="40" t="b">
        <f t="shared" si="13"/>
        <v>0</v>
      </c>
      <c r="P86" s="40" t="b">
        <f t="shared" si="14"/>
        <v>0</v>
      </c>
      <c r="Q86" s="40"/>
      <c r="R86" s="40" t="b">
        <f t="shared" si="15"/>
        <v>1</v>
      </c>
      <c r="S86" s="40" t="b">
        <f t="shared" si="16"/>
        <v>0</v>
      </c>
      <c r="T86" s="40" t="b">
        <f t="shared" si="17"/>
        <v>0</v>
      </c>
      <c r="U86" s="40"/>
      <c r="V86" s="83"/>
      <c r="W86" s="80"/>
      <c r="X86" s="40"/>
      <c r="Y86" s="40"/>
    </row>
    <row r="87" spans="1:25">
      <c r="A87" s="40"/>
      <c r="B87" s="40" t="b">
        <f t="shared" si="18"/>
        <v>1</v>
      </c>
      <c r="C87" s="40" t="b">
        <f t="shared" si="19"/>
        <v>0</v>
      </c>
      <c r="D87" s="40" t="b">
        <f t="shared" si="20"/>
        <v>0</v>
      </c>
      <c r="E87" s="40"/>
      <c r="F87" s="40" t="b">
        <f t="shared" si="6"/>
        <v>1</v>
      </c>
      <c r="G87" s="40" t="b">
        <f t="shared" si="7"/>
        <v>0</v>
      </c>
      <c r="H87" s="40" t="b">
        <f t="shared" si="8"/>
        <v>0</v>
      </c>
      <c r="I87" s="40"/>
      <c r="J87" s="40" t="b">
        <f t="shared" si="9"/>
        <v>1</v>
      </c>
      <c r="K87" s="40" t="b">
        <f t="shared" si="10"/>
        <v>0</v>
      </c>
      <c r="L87" s="40" t="b">
        <f t="shared" si="11"/>
        <v>0</v>
      </c>
      <c r="M87" s="40"/>
      <c r="N87" s="40" t="b">
        <f t="shared" si="12"/>
        <v>1</v>
      </c>
      <c r="O87" s="40" t="b">
        <f t="shared" si="13"/>
        <v>0</v>
      </c>
      <c r="P87" s="40" t="b">
        <f t="shared" si="14"/>
        <v>0</v>
      </c>
      <c r="Q87" s="40"/>
      <c r="R87" s="40" t="b">
        <f t="shared" si="15"/>
        <v>1</v>
      </c>
      <c r="S87" s="40" t="b">
        <f t="shared" si="16"/>
        <v>0</v>
      </c>
      <c r="T87" s="40" t="b">
        <f t="shared" si="17"/>
        <v>0</v>
      </c>
      <c r="U87" s="40"/>
      <c r="V87" s="83"/>
      <c r="W87" s="80"/>
      <c r="X87" s="40"/>
      <c r="Y87" s="40"/>
    </row>
    <row r="88" spans="1:25">
      <c r="A88" s="40"/>
      <c r="B88" s="40"/>
      <c r="C88" s="40"/>
      <c r="D88" s="40"/>
      <c r="E88" s="40"/>
      <c r="F88" s="40"/>
      <c r="G88" s="40"/>
      <c r="H88" s="40"/>
      <c r="I88" s="40"/>
      <c r="J88" s="40"/>
      <c r="K88" s="40"/>
      <c r="L88" s="40"/>
      <c r="M88" s="40"/>
      <c r="N88" s="40"/>
      <c r="O88" s="40"/>
      <c r="P88" s="40"/>
      <c r="Q88" s="40"/>
      <c r="R88" s="40"/>
      <c r="S88" s="40"/>
      <c r="T88" s="40"/>
      <c r="U88" s="40"/>
      <c r="V88" s="83"/>
      <c r="W88" s="80"/>
      <c r="X88" s="40"/>
      <c r="Y88" s="40"/>
    </row>
    <row r="89" spans="1:25">
      <c r="A89" s="40" t="s">
        <v>60</v>
      </c>
      <c r="B89" s="40" t="b">
        <f>AND(B80:B87)</f>
        <v>1</v>
      </c>
      <c r="C89" s="40" t="b">
        <f>OR(C80:C87)</f>
        <v>0</v>
      </c>
      <c r="D89" s="40" t="b">
        <f>OR(D80:D87)</f>
        <v>0</v>
      </c>
      <c r="E89" s="40"/>
      <c r="F89" s="40" t="b">
        <f t="shared" ref="F89" si="21">AND(F80:F87)</f>
        <v>1</v>
      </c>
      <c r="G89" s="40" t="b">
        <f t="shared" ref="G89:H89" si="22">OR(G80:G87)</f>
        <v>0</v>
      </c>
      <c r="H89" s="40" t="b">
        <f t="shared" si="22"/>
        <v>0</v>
      </c>
      <c r="I89" s="40"/>
      <c r="J89" s="40" t="b">
        <f t="shared" ref="J89" si="23">AND(J80:J87)</f>
        <v>1</v>
      </c>
      <c r="K89" s="40" t="b">
        <f t="shared" ref="K89:L89" si="24">OR(K80:K87)</f>
        <v>0</v>
      </c>
      <c r="L89" s="40" t="b">
        <f t="shared" si="24"/>
        <v>0</v>
      </c>
      <c r="M89" s="40"/>
      <c r="N89" s="40" t="b">
        <f t="shared" ref="N89" si="25">AND(N80:N87)</f>
        <v>1</v>
      </c>
      <c r="O89" s="40" t="b">
        <f t="shared" ref="O89:P89" si="26">OR(O80:O87)</f>
        <v>0</v>
      </c>
      <c r="P89" s="40" t="b">
        <f t="shared" si="26"/>
        <v>0</v>
      </c>
      <c r="Q89" s="40"/>
      <c r="R89" s="40" t="b">
        <f t="shared" ref="R89" si="27">AND(R80:R87)</f>
        <v>1</v>
      </c>
      <c r="S89" s="40" t="b">
        <f t="shared" ref="S89:T89" si="28">OR(S80:S87)</f>
        <v>0</v>
      </c>
      <c r="T89" s="40" t="b">
        <f t="shared" si="28"/>
        <v>0</v>
      </c>
      <c r="U89" s="40"/>
      <c r="V89" s="83"/>
      <c r="W89" s="80"/>
      <c r="X89" s="40"/>
      <c r="Y89" s="40"/>
    </row>
    <row r="90" spans="1:25">
      <c r="A90" s="40" t="s">
        <v>61</v>
      </c>
      <c r="B90" s="40">
        <f>IF(D89,-100,IF(C89,1,0))*$O$25</f>
        <v>0</v>
      </c>
      <c r="C90" s="40"/>
      <c r="D90" s="40"/>
      <c r="E90" s="40"/>
      <c r="F90" s="40">
        <f>IF(H89,-100,IF(G89,1,0))*$O$25</f>
        <v>0</v>
      </c>
      <c r="G90" s="40"/>
      <c r="H90" s="40"/>
      <c r="I90" s="40"/>
      <c r="J90" s="40">
        <f>IF(L89,-100,IF(K89,1,0))*$O$25</f>
        <v>0</v>
      </c>
      <c r="K90" s="40"/>
      <c r="L90" s="40"/>
      <c r="M90" s="40"/>
      <c r="N90" s="40">
        <f>IF(P89,-100,IF(O89,1,0))*$O$25</f>
        <v>0</v>
      </c>
      <c r="O90" s="40"/>
      <c r="P90" s="40"/>
      <c r="Q90" s="40"/>
      <c r="R90" s="40">
        <f>IF(T89,-100,IF(S89,1,0))*$O$25</f>
        <v>0</v>
      </c>
      <c r="S90" s="40"/>
      <c r="T90" s="40"/>
      <c r="U90" s="40">
        <f>SUM(B90:R90)</f>
        <v>0</v>
      </c>
      <c r="V90" s="83"/>
      <c r="W90" s="80"/>
      <c r="X90" s="40"/>
      <c r="Y90" s="40"/>
    </row>
    <row r="91" spans="1:25">
      <c r="A91" s="40"/>
      <c r="B91" s="40"/>
      <c r="C91" s="40"/>
      <c r="D91" s="40"/>
      <c r="E91" s="40"/>
      <c r="F91" s="40"/>
      <c r="G91" s="40"/>
      <c r="H91" s="40"/>
      <c r="I91" s="40"/>
      <c r="J91" s="40"/>
      <c r="K91" s="40"/>
      <c r="L91" s="40"/>
      <c r="M91" s="40"/>
      <c r="N91" s="40"/>
      <c r="O91" s="47"/>
      <c r="P91" s="40"/>
      <c r="Q91" s="48"/>
      <c r="R91" s="40"/>
      <c r="S91" s="47"/>
      <c r="T91" s="40"/>
      <c r="U91" s="40"/>
      <c r="V91" s="83"/>
      <c r="W91" s="80"/>
      <c r="X91" s="40"/>
      <c r="Y91" s="40"/>
    </row>
    <row r="92" spans="1:25">
      <c r="A92" s="40" t="s">
        <v>62</v>
      </c>
      <c r="B92" s="40">
        <f>COUNTIF($L$42:$Q$62,"Schedule #1")</f>
        <v>22</v>
      </c>
      <c r="C92" s="40"/>
      <c r="D92" s="40"/>
      <c r="E92" s="40"/>
      <c r="F92" s="40">
        <f>COUNTIF($L$42:$Q$62,"Schedule #2")</f>
        <v>0</v>
      </c>
      <c r="G92" s="40"/>
      <c r="H92" s="40"/>
      <c r="I92" s="40"/>
      <c r="J92" s="40">
        <f>COUNTIF($L$42:$Q$62,"Schedule #3")</f>
        <v>0</v>
      </c>
      <c r="K92" s="40"/>
      <c r="L92" s="40"/>
      <c r="M92" s="40"/>
      <c r="N92" s="40">
        <f>COUNTIF($L$42:$Q$62,"Schedule #4")</f>
        <v>0</v>
      </c>
      <c r="O92" s="47"/>
      <c r="P92" s="40"/>
      <c r="Q92" s="48"/>
      <c r="R92" s="40">
        <f>COUNTIF($L$42:$Q$62,"Schedule #5")</f>
        <v>0</v>
      </c>
      <c r="S92" s="47"/>
      <c r="T92" s="40"/>
      <c r="U92" s="40"/>
      <c r="V92" s="83"/>
      <c r="W92" s="80"/>
      <c r="X92" s="40"/>
      <c r="Y92" s="40"/>
    </row>
    <row r="93" spans="1:25">
      <c r="A93" s="40" t="s">
        <v>63</v>
      </c>
      <c r="B93" s="40" t="b">
        <f>AND(B92&gt;0,B90&lt;&gt;1)</f>
        <v>1</v>
      </c>
      <c r="C93" s="40"/>
      <c r="D93" s="40"/>
      <c r="E93" s="40"/>
      <c r="F93" s="40" t="b">
        <f>AND(F92&gt;0,F90&lt;&gt;1)</f>
        <v>0</v>
      </c>
      <c r="G93" s="40"/>
      <c r="H93" s="40"/>
      <c r="I93" s="40"/>
      <c r="J93" s="40" t="b">
        <f>AND(J92&gt;0,J90&lt;&gt;1)</f>
        <v>0</v>
      </c>
      <c r="K93" s="40"/>
      <c r="L93" s="40"/>
      <c r="M93" s="40"/>
      <c r="N93" s="40" t="b">
        <f>AND(N92&gt;0,N90&lt;&gt;1)</f>
        <v>0</v>
      </c>
      <c r="O93" s="47"/>
      <c r="P93" s="40"/>
      <c r="Q93" s="48"/>
      <c r="R93" s="40" t="b">
        <f>AND(R92&gt;0,R90&lt;&gt;1)</f>
        <v>0</v>
      </c>
      <c r="S93" s="40"/>
      <c r="T93" s="40"/>
      <c r="U93" s="40" t="b">
        <f>OR(B93,F93,J93,N93,R93)</f>
        <v>1</v>
      </c>
      <c r="V93" s="83"/>
      <c r="W93" s="80"/>
      <c r="X93" s="40"/>
      <c r="Y93" s="40"/>
    </row>
    <row r="94" spans="1:25">
      <c r="A94" s="40"/>
      <c r="B94" s="40" t="str">
        <f>IF(B93,"  #1","")</f>
        <v xml:space="preserve">  #1</v>
      </c>
      <c r="C94" s="40"/>
      <c r="D94" s="40"/>
      <c r="E94" s="40"/>
      <c r="F94" s="40" t="str">
        <f>IF(F93,"  #2","")</f>
        <v/>
      </c>
      <c r="G94" s="40"/>
      <c r="H94" s="40"/>
      <c r="I94" s="40"/>
      <c r="J94" s="40" t="str">
        <f>IF(J93,"  #3","")</f>
        <v/>
      </c>
      <c r="K94" s="40"/>
      <c r="L94" s="40"/>
      <c r="M94" s="40"/>
      <c r="N94" s="40" t="str">
        <f>IF(N93,"  #4","")</f>
        <v/>
      </c>
      <c r="O94" s="47"/>
      <c r="P94" s="40"/>
      <c r="Q94" s="48"/>
      <c r="R94" s="40" t="str">
        <f>IF(R93,"  #5","")</f>
        <v/>
      </c>
      <c r="S94" s="47"/>
      <c r="T94" s="40"/>
      <c r="U94" s="40" t="str">
        <f>B94&amp;F94&amp;J94&amp;N94&amp;R94</f>
        <v xml:space="preserve">  #1</v>
      </c>
      <c r="V94" s="83"/>
      <c r="W94" s="80"/>
      <c r="X94" s="40"/>
      <c r="Y94" s="40"/>
    </row>
    <row r="95" spans="1:25">
      <c r="A95" s="51"/>
      <c r="B95" s="40" t="s">
        <v>74</v>
      </c>
      <c r="C95" s="40" t="s">
        <v>72</v>
      </c>
      <c r="D95" s="51" t="s">
        <v>75</v>
      </c>
      <c r="E95" s="40" t="s">
        <v>73</v>
      </c>
      <c r="F95" s="40" t="s">
        <v>74</v>
      </c>
      <c r="G95" s="40" t="s">
        <v>72</v>
      </c>
      <c r="H95" s="51" t="s">
        <v>75</v>
      </c>
      <c r="I95" s="40" t="s">
        <v>73</v>
      </c>
      <c r="J95" s="40" t="s">
        <v>74</v>
      </c>
      <c r="K95" s="40" t="s">
        <v>72</v>
      </c>
      <c r="L95" s="51" t="s">
        <v>75</v>
      </c>
      <c r="M95" s="40" t="s">
        <v>73</v>
      </c>
      <c r="N95" s="40" t="s">
        <v>74</v>
      </c>
      <c r="O95" s="40" t="s">
        <v>72</v>
      </c>
      <c r="P95" s="51" t="s">
        <v>75</v>
      </c>
      <c r="Q95" s="40" t="s">
        <v>73</v>
      </c>
      <c r="R95" s="40" t="s">
        <v>74</v>
      </c>
      <c r="S95" s="40" t="s">
        <v>72</v>
      </c>
      <c r="T95" s="51" t="s">
        <v>75</v>
      </c>
      <c r="U95" s="40" t="s">
        <v>73</v>
      </c>
      <c r="V95" s="83"/>
      <c r="W95" s="80"/>
      <c r="X95" s="40"/>
      <c r="Y95" s="40"/>
    </row>
    <row r="96" spans="1:25">
      <c r="A96" s="51"/>
      <c r="B96" s="40"/>
      <c r="C96" s="40">
        <v>0</v>
      </c>
      <c r="D96" s="51">
        <f>INT(C96/100)*100+(C96-INT(C96/100)*100)*1.66666</f>
        <v>0</v>
      </c>
      <c r="E96" s="40">
        <f>IF(B$90&lt;1,200,IF(MIN(B97:B104)&gt;=2400,100,E112))</f>
        <v>200</v>
      </c>
      <c r="F96" s="40"/>
      <c r="G96" s="40">
        <v>0</v>
      </c>
      <c r="H96" s="51">
        <f t="shared" ref="H96:T111" si="29">INT(G96/100)*100+(G96-INT(G96/100)*100)*1.66666</f>
        <v>0</v>
      </c>
      <c r="I96" s="40">
        <f>IF(F$90&lt;1,200,IF(MIN(F97:F104)&gt;=2400,100,I112))</f>
        <v>200</v>
      </c>
      <c r="J96" s="40"/>
      <c r="K96" s="40">
        <v>0</v>
      </c>
      <c r="L96" s="51">
        <f t="shared" ref="L96" si="30">INT(K96/100)*100+(K96-INT(K96/100)*100)*1.66666</f>
        <v>0</v>
      </c>
      <c r="M96" s="40">
        <f>IF(J$90&lt;1,200,IF(MIN(J97:J104)&gt;=2400,100,M112))</f>
        <v>200</v>
      </c>
      <c r="N96" s="40"/>
      <c r="O96" s="40">
        <v>0</v>
      </c>
      <c r="P96" s="51">
        <f t="shared" ref="P96" si="31">INT(O96/100)*100+(O96-INT(O96/100)*100)*1.66666</f>
        <v>0</v>
      </c>
      <c r="Q96" s="40">
        <f>IF(N$90&lt;1,200,IF(MIN(N97:N104)&gt;=2400,100,Q112))</f>
        <v>200</v>
      </c>
      <c r="R96" s="40"/>
      <c r="S96" s="40">
        <v>0</v>
      </c>
      <c r="T96" s="51">
        <f t="shared" ref="T96" si="32">INT(S96/100)*100+(S96-INT(S96/100)*100)*1.66666</f>
        <v>0</v>
      </c>
      <c r="U96" s="40">
        <f>IF(R$90&lt;1,200,IF(MIN(R97:R104)&gt;=2400,100,U112))</f>
        <v>200</v>
      </c>
      <c r="V96" s="83"/>
      <c r="W96" s="80"/>
      <c r="X96" s="40"/>
      <c r="Y96" s="40"/>
    </row>
    <row r="97" spans="1:25">
      <c r="A97" s="51"/>
      <c r="B97" s="40">
        <f>IF(OR(C70="24 hour",C70="AM"),B70-1200*AND(C70="AM",B70&gt;=1200),IF(C70="PM",B70+1200*(B70&lt;1200),IF(C70="Power on at Panel",1300,IF(C70="No Entry",2400,IF(C70="From Sunrise",B70+600-40*(B70&lt;0),IF(C70="From Sunset",B70+ 1800-40*(B70&lt;0),0))))))+ROW()/1000</f>
        <v>2400.0970000000002</v>
      </c>
      <c r="C97" s="40">
        <f>INT(INDEX(B$97:B$104,MATCH(INT((ROWS(B$97:B97)-1)/2+1),B$105:B$112,0)))</f>
        <v>2400</v>
      </c>
      <c r="D97" s="51">
        <f t="shared" ref="D97:D112" si="33">INT(C97/100)*100+(C97-INT(C97/100)*100)*1.66666</f>
        <v>2400</v>
      </c>
      <c r="E97" s="40">
        <f>E96</f>
        <v>200</v>
      </c>
      <c r="F97" s="40">
        <f t="shared" ref="F97:F104" si="34">IF(OR(G70="24 hour",G70="AM"),F70-1200*AND(G70="AM",F70&gt;=1200),IF(G70="PM",F70+1200*(F70&lt;1200),IF(G70="Power on at Panel",1300,IF(G70="No Entry",2400,IF(G70="From Sunrise",F70+600-40*(F70&lt;0),IF(G70="From Sunset",F70+ 1800-40*(F70&lt;0),0))))))+ROW()/1000</f>
        <v>2400.0970000000002</v>
      </c>
      <c r="G97" s="40">
        <f>INT(INDEX(F$97:F$104,MATCH(INT((ROWS(F$97:F97)-1)/2+1),F$105:F$112,0)))</f>
        <v>2400</v>
      </c>
      <c r="H97" s="51">
        <f t="shared" si="29"/>
        <v>2400</v>
      </c>
      <c r="I97" s="40">
        <f>I96</f>
        <v>200</v>
      </c>
      <c r="J97" s="40">
        <f t="shared" ref="J97:J104" si="35">IF(OR(K70="24 hour",K70="AM"),J70-1200*AND(K70="AM",J70&gt;=1200),IF(K70="PM",J70+1200*(J70&lt;1200),IF(K70="Power on at Panel",1300,IF(K70="No Entry",2400,IF(K70="From Sunrise",J70+600-40*(J70&lt;0),IF(K70="From Sunset",J70+ 1800-40*(J70&lt;0),0))))))+ROW()/1000</f>
        <v>2400.0970000000002</v>
      </c>
      <c r="K97" s="40">
        <f>INT(INDEX(J$97:J$104,MATCH(INT((ROWS(J$97:J97)-1)/2+1),J$105:J$112,0)))</f>
        <v>2400</v>
      </c>
      <c r="L97" s="51">
        <f t="shared" si="29"/>
        <v>2400</v>
      </c>
      <c r="M97" s="40">
        <f>M96</f>
        <v>200</v>
      </c>
      <c r="N97" s="40">
        <f t="shared" ref="N97:N104" si="36">IF(OR(O70="24 hour",O70="AM"),N70-1200*AND(O70="AM",N70&gt;=1200),IF(O70="PM",N70+1200*(N70&lt;1200),IF(O70="Power on at Panel",1300,IF(O70="No Entry",2400,IF(O70="From Sunrise",N70+600-40*(N70&lt;0),IF(O70="From Sunset",N70+ 1800-40*(N70&lt;0),0))))))+ROW()/1000</f>
        <v>2400.0970000000002</v>
      </c>
      <c r="O97" s="40">
        <f>INT(INDEX(N$97:N$104,MATCH(INT((ROWS(N$97:N97)-1)/2+1),N$105:N$112,0)))</f>
        <v>2400</v>
      </c>
      <c r="P97" s="51">
        <f t="shared" si="29"/>
        <v>2400</v>
      </c>
      <c r="Q97" s="40">
        <f>Q96</f>
        <v>200</v>
      </c>
      <c r="R97" s="40">
        <f t="shared" ref="R97:R104" si="37">IF(OR(S70="24 hour",S70="AM"),R70-1200*AND(S70="AM",R70&gt;=1200),IF(S70="PM",R70+1200*(R70&lt;1200),IF(S70="Power on at Panel",1300,IF(S70="No Entry",2400,IF(S70="From Sunrise",R70+600-40*(R70&lt;0),IF(S70="From Sunset",R70+ 1800-40*(R70&lt;0),0))))))+ROW()/1000</f>
        <v>2400.0970000000002</v>
      </c>
      <c r="S97" s="40">
        <f>INT(INDEX(R$97:R$104,MATCH(INT((ROWS(R$97:R97)-1)/2+1),R$105:R$112,0)))</f>
        <v>2400</v>
      </c>
      <c r="T97" s="51">
        <f t="shared" si="29"/>
        <v>2400</v>
      </c>
      <c r="U97" s="40">
        <f>U96</f>
        <v>200</v>
      </c>
      <c r="V97" s="83"/>
      <c r="W97" s="80"/>
      <c r="X97" s="40"/>
      <c r="Y97" s="40"/>
    </row>
    <row r="98" spans="1:25">
      <c r="A98" s="51"/>
      <c r="B98" s="40">
        <f t="shared" ref="B98:B104" si="38">IF(OR(C71="24 hour",C71="AM"),B71-1200*AND(C71="AM",B71&gt;=1200),IF(C71="PM",B71+1200*(B71&lt;1200),IF(C71="Power on at Panel",1300,IF(C71="No Entry",2400,IF(C71="From Sunrise",B71+600-40*(B71&lt;0),IF(C71="From Sunset",B71+ 1800-40*(B71&lt;0),0))))))+ROW()/1000</f>
        <v>2400.098</v>
      </c>
      <c r="C98" s="40">
        <f>INT(INDEX(B$97:B$104,MATCH(INT((ROWS(B$97:B98)-1)/2+1),B$105:B$112,0)))</f>
        <v>2400</v>
      </c>
      <c r="D98" s="51">
        <f t="shared" si="33"/>
        <v>2400</v>
      </c>
      <c r="E98" s="40">
        <f>IF(B$90&lt;1,200,IF(C98=2400,E97,INDEX(E$70:E$77,MATCH(INT((ROWS(B$105:B106)-2)/2)+1,B$105:B$112,0))))</f>
        <v>200</v>
      </c>
      <c r="F98" s="40">
        <f t="shared" si="34"/>
        <v>2400.098</v>
      </c>
      <c r="G98" s="40">
        <f>INT(INDEX(F$97:F$104,MATCH(INT((ROWS(F$97:F98)-1)/2+1),F$105:F$112,0)))</f>
        <v>2400</v>
      </c>
      <c r="H98" s="51">
        <f t="shared" si="29"/>
        <v>2400</v>
      </c>
      <c r="I98" s="40">
        <f>IF(F$90&lt;1,200,IF(G98=2400,I97,INDEX(I$70:I$77,MATCH(INT((ROWS(F$105:F106)-2)/2)+1,F$105:F$112,0))))</f>
        <v>200</v>
      </c>
      <c r="J98" s="40">
        <f t="shared" si="35"/>
        <v>2400.098</v>
      </c>
      <c r="K98" s="40">
        <f>INT(INDEX(J$97:J$104,MATCH(INT((ROWS(J$97:J98)-1)/2+1),J$105:J$112,0)))</f>
        <v>2400</v>
      </c>
      <c r="L98" s="51">
        <f t="shared" si="29"/>
        <v>2400</v>
      </c>
      <c r="M98" s="40">
        <f>IF(J$90&lt;1,200,IF(K98=2400,M97,INDEX(M$70:M$77,MATCH(INT((ROWS(J$105:J106)-2)/2)+1,J$105:J$112,0))))</f>
        <v>200</v>
      </c>
      <c r="N98" s="40">
        <f t="shared" si="36"/>
        <v>2400.098</v>
      </c>
      <c r="O98" s="40">
        <f>INT(INDEX(N$97:N$104,MATCH(INT((ROWS(N$97:N98)-1)/2+1),N$105:N$112,0)))</f>
        <v>2400</v>
      </c>
      <c r="P98" s="51">
        <f t="shared" si="29"/>
        <v>2400</v>
      </c>
      <c r="Q98" s="40">
        <f>IF(N$90&lt;1,200,IF(O98=2400,Q97,INDEX(Q$70:Q$77,MATCH(INT((ROWS(N$105:N106)-2)/2)+1,N$105:N$112,0))))</f>
        <v>200</v>
      </c>
      <c r="R98" s="40">
        <f t="shared" si="37"/>
        <v>2400.098</v>
      </c>
      <c r="S98" s="40">
        <f>INT(INDEX(R$97:R$104,MATCH(INT((ROWS(R$97:R98)-1)/2+1),R$105:R$112,0)))</f>
        <v>2400</v>
      </c>
      <c r="T98" s="51">
        <f t="shared" si="29"/>
        <v>2400</v>
      </c>
      <c r="U98" s="40">
        <f>IF(R$90&lt;1,200,IF(S98=2400,U97,INDEX(U$70:U$77,MATCH(INT((ROWS(R$105:R106)-2)/2)+1,R$105:R$112,0))))</f>
        <v>200</v>
      </c>
      <c r="V98" s="83"/>
      <c r="W98" s="80"/>
      <c r="X98" s="40"/>
      <c r="Y98" s="40"/>
    </row>
    <row r="99" spans="1:25">
      <c r="A99" s="51"/>
      <c r="B99" s="40">
        <f t="shared" si="38"/>
        <v>2400.0990000000002</v>
      </c>
      <c r="C99" s="40">
        <f>INT(INDEX(B$97:B$104,MATCH(INT((ROWS(B$97:B99)-1)/2+1),B$105:B$112,0)))</f>
        <v>2400</v>
      </c>
      <c r="D99" s="51">
        <f t="shared" si="33"/>
        <v>2400</v>
      </c>
      <c r="E99" s="40">
        <f>IF(B$90&lt;1,200,IF(C99=2400,E98,INDEX(E$70:E$77,MATCH(INT((ROWS(B$105:B107)-2)/2)+1,B$105:B$112,0))))</f>
        <v>200</v>
      </c>
      <c r="F99" s="40">
        <f t="shared" si="34"/>
        <v>2400.0990000000002</v>
      </c>
      <c r="G99" s="40">
        <f>INT(INDEX(F$97:F$104,MATCH(INT((ROWS(F$97:F99)-1)/2+1),F$105:F$112,0)))</f>
        <v>2400</v>
      </c>
      <c r="H99" s="51">
        <f t="shared" si="29"/>
        <v>2400</v>
      </c>
      <c r="I99" s="40">
        <f>IF(F$90&lt;1,200,IF(G99=2400,I98,INDEX(I$70:I$77,MATCH(INT((ROWS(F$105:F107)-2)/2)+1,F$105:F$112,0))))</f>
        <v>200</v>
      </c>
      <c r="J99" s="40">
        <f t="shared" si="35"/>
        <v>2400.0990000000002</v>
      </c>
      <c r="K99" s="40">
        <f>INT(INDEX(J$97:J$104,MATCH(INT((ROWS(J$97:J99)-1)/2+1),J$105:J$112,0)))</f>
        <v>2400</v>
      </c>
      <c r="L99" s="51">
        <f t="shared" si="29"/>
        <v>2400</v>
      </c>
      <c r="M99" s="40">
        <f>IF(J$90&lt;1,200,IF(K99=2400,M98,INDEX(M$70:M$77,MATCH(INT((ROWS(J$105:J107)-2)/2)+1,J$105:J$112,0))))</f>
        <v>200</v>
      </c>
      <c r="N99" s="40">
        <f t="shared" si="36"/>
        <v>2400.0990000000002</v>
      </c>
      <c r="O99" s="40">
        <f>INT(INDEX(N$97:N$104,MATCH(INT((ROWS(N$97:N99)-1)/2+1),N$105:N$112,0)))</f>
        <v>2400</v>
      </c>
      <c r="P99" s="51">
        <f t="shared" si="29"/>
        <v>2400</v>
      </c>
      <c r="Q99" s="40">
        <f>IF(N$90&lt;1,200,IF(O99=2400,Q98,INDEX(Q$70:Q$77,MATCH(INT((ROWS(N$105:N107)-2)/2)+1,N$105:N$112,0))))</f>
        <v>200</v>
      </c>
      <c r="R99" s="40">
        <f t="shared" si="37"/>
        <v>2400.0990000000002</v>
      </c>
      <c r="S99" s="40">
        <f>INT(INDEX(R$97:R$104,MATCH(INT((ROWS(R$97:R99)-1)/2+1),R$105:R$112,0)))</f>
        <v>2400</v>
      </c>
      <c r="T99" s="51">
        <f t="shared" si="29"/>
        <v>2400</v>
      </c>
      <c r="U99" s="40">
        <f>IF(R$90&lt;1,200,IF(S99=2400,U98,INDEX(U$70:U$77,MATCH(INT((ROWS(R$105:R107)-2)/2)+1,R$105:R$112,0))))</f>
        <v>200</v>
      </c>
      <c r="V99" s="83"/>
      <c r="W99" s="80"/>
      <c r="X99" s="40"/>
      <c r="Y99" s="40"/>
    </row>
    <row r="100" spans="1:25">
      <c r="A100" s="51"/>
      <c r="B100" s="40">
        <f t="shared" si="38"/>
        <v>2400.1</v>
      </c>
      <c r="C100" s="40">
        <f>INT(INDEX(B$97:B$104,MATCH(INT((ROWS(B$97:B100)-1)/2+1),B$105:B$112,0)))</f>
        <v>2400</v>
      </c>
      <c r="D100" s="51">
        <f t="shared" si="33"/>
        <v>2400</v>
      </c>
      <c r="E100" s="40">
        <f>IF(B$90&lt;1,200,IF(C100=2400,E99,INDEX(E$70:E$77,MATCH(INT((ROWS(B$105:B108)-2)/2)+1,B$105:B$112,0))))</f>
        <v>200</v>
      </c>
      <c r="F100" s="40">
        <f t="shared" si="34"/>
        <v>2400.1</v>
      </c>
      <c r="G100" s="40">
        <f>INT(INDEX(F$97:F$104,MATCH(INT((ROWS(F$97:F100)-1)/2+1),F$105:F$112,0)))</f>
        <v>2400</v>
      </c>
      <c r="H100" s="51">
        <f t="shared" si="29"/>
        <v>2400</v>
      </c>
      <c r="I100" s="40">
        <f>IF(F$90&lt;1,200,IF(G100=2400,I99,INDEX(I$70:I$77,MATCH(INT((ROWS(F$105:F108)-2)/2)+1,F$105:F$112,0))))</f>
        <v>200</v>
      </c>
      <c r="J100" s="40">
        <f t="shared" si="35"/>
        <v>2400.1</v>
      </c>
      <c r="K100" s="40">
        <f>INT(INDEX(J$97:J$104,MATCH(INT((ROWS(J$97:J100)-1)/2+1),J$105:J$112,0)))</f>
        <v>2400</v>
      </c>
      <c r="L100" s="51">
        <f t="shared" si="29"/>
        <v>2400</v>
      </c>
      <c r="M100" s="40">
        <f>IF(J$90&lt;1,200,IF(K100=2400,M99,INDEX(M$70:M$77,MATCH(INT((ROWS(J$105:J108)-2)/2)+1,J$105:J$112,0))))</f>
        <v>200</v>
      </c>
      <c r="N100" s="40">
        <f t="shared" si="36"/>
        <v>2400.1</v>
      </c>
      <c r="O100" s="40">
        <f>INT(INDEX(N$97:N$104,MATCH(INT((ROWS(N$97:N100)-1)/2+1),N$105:N$112,0)))</f>
        <v>2400</v>
      </c>
      <c r="P100" s="51">
        <f t="shared" si="29"/>
        <v>2400</v>
      </c>
      <c r="Q100" s="40">
        <f>IF(N$90&lt;1,200,IF(O100=2400,Q99,INDEX(Q$70:Q$77,MATCH(INT((ROWS(N$105:N108)-2)/2)+1,N$105:N$112,0))))</f>
        <v>200</v>
      </c>
      <c r="R100" s="40">
        <f t="shared" si="37"/>
        <v>2400.1</v>
      </c>
      <c r="S100" s="40">
        <f>INT(INDEX(R$97:R$104,MATCH(INT((ROWS(R$97:R100)-1)/2+1),R$105:R$112,0)))</f>
        <v>2400</v>
      </c>
      <c r="T100" s="51">
        <f t="shared" si="29"/>
        <v>2400</v>
      </c>
      <c r="U100" s="40">
        <f>IF(R$90&lt;1,200,IF(S100=2400,U99,INDEX(U$70:U$77,MATCH(INT((ROWS(R$105:R108)-2)/2)+1,R$105:R$112,0))))</f>
        <v>200</v>
      </c>
      <c r="V100" s="83"/>
      <c r="W100" s="80"/>
      <c r="X100" s="40"/>
      <c r="Y100" s="40"/>
    </row>
    <row r="101" spans="1:25">
      <c r="A101" s="51"/>
      <c r="B101" s="40">
        <f t="shared" si="38"/>
        <v>2400.1010000000001</v>
      </c>
      <c r="C101" s="40">
        <f>INT(INDEX(B$97:B$104,MATCH(INT((ROWS(B$97:B101)-1)/2+1),B$105:B$112,0)))</f>
        <v>2400</v>
      </c>
      <c r="D101" s="51">
        <f t="shared" si="33"/>
        <v>2400</v>
      </c>
      <c r="E101" s="40">
        <f>IF(B$90&lt;1,200,IF(C101=2400,E100,INDEX(E$70:E$77,MATCH(INT((ROWS(B$105:B109)-2)/2)+1,B$105:B$112,0))))</f>
        <v>200</v>
      </c>
      <c r="F101" s="40">
        <f t="shared" si="34"/>
        <v>2400.1010000000001</v>
      </c>
      <c r="G101" s="40">
        <f>INT(INDEX(F$97:F$104,MATCH(INT((ROWS(F$97:F101)-1)/2+1),F$105:F$112,0)))</f>
        <v>2400</v>
      </c>
      <c r="H101" s="51">
        <f t="shared" si="29"/>
        <v>2400</v>
      </c>
      <c r="I101" s="40">
        <f>IF(F$90&lt;1,200,IF(G101=2400,I100,INDEX(I$70:I$77,MATCH(INT((ROWS(F$105:F109)-2)/2)+1,F$105:F$112,0))))</f>
        <v>200</v>
      </c>
      <c r="J101" s="40">
        <f t="shared" si="35"/>
        <v>2400.1010000000001</v>
      </c>
      <c r="K101" s="40">
        <f>INT(INDEX(J$97:J$104,MATCH(INT((ROWS(J$97:J101)-1)/2+1),J$105:J$112,0)))</f>
        <v>2400</v>
      </c>
      <c r="L101" s="51">
        <f t="shared" si="29"/>
        <v>2400</v>
      </c>
      <c r="M101" s="40">
        <f>IF(J$90&lt;1,200,IF(K101=2400,M100,INDEX(M$70:M$77,MATCH(INT((ROWS(J$105:J109)-2)/2)+1,J$105:J$112,0))))</f>
        <v>200</v>
      </c>
      <c r="N101" s="40">
        <f t="shared" si="36"/>
        <v>2400.1010000000001</v>
      </c>
      <c r="O101" s="40">
        <f>INT(INDEX(N$97:N$104,MATCH(INT((ROWS(N$97:N101)-1)/2+1),N$105:N$112,0)))</f>
        <v>2400</v>
      </c>
      <c r="P101" s="51">
        <f t="shared" si="29"/>
        <v>2400</v>
      </c>
      <c r="Q101" s="40">
        <f>IF(N$90&lt;1,200,IF(O101=2400,Q100,INDEX(Q$70:Q$77,MATCH(INT((ROWS(N$105:N109)-2)/2)+1,N$105:N$112,0))))</f>
        <v>200</v>
      </c>
      <c r="R101" s="40">
        <f t="shared" si="37"/>
        <v>2400.1010000000001</v>
      </c>
      <c r="S101" s="40">
        <f>INT(INDEX(R$97:R$104,MATCH(INT((ROWS(R$97:R101)-1)/2+1),R$105:R$112,0)))</f>
        <v>2400</v>
      </c>
      <c r="T101" s="51">
        <f t="shared" si="29"/>
        <v>2400</v>
      </c>
      <c r="U101" s="40">
        <f>IF(R$90&lt;1,200,IF(S101=2400,U100,INDEX(U$70:U$77,MATCH(INT((ROWS(R$105:R109)-2)/2)+1,R$105:R$112,0))))</f>
        <v>200</v>
      </c>
      <c r="V101" s="83"/>
      <c r="W101" s="80"/>
      <c r="X101" s="40"/>
      <c r="Y101" s="40"/>
    </row>
    <row r="102" spans="1:25">
      <c r="A102" s="51"/>
      <c r="B102" s="40">
        <f t="shared" si="38"/>
        <v>2400.1019999999999</v>
      </c>
      <c r="C102" s="40">
        <f>INT(INDEX(B$97:B$104,MATCH(INT((ROWS(B$97:B102)-1)/2+1),B$105:B$112,0)))</f>
        <v>2400</v>
      </c>
      <c r="D102" s="51">
        <f t="shared" si="33"/>
        <v>2400</v>
      </c>
      <c r="E102" s="40">
        <f>IF(B$90&lt;1,200,IF(C102=2400,E101,INDEX(E$70:E$77,MATCH(INT((ROWS(B$105:B110)-2)/2)+1,B$105:B$112,0))))</f>
        <v>200</v>
      </c>
      <c r="F102" s="40">
        <f t="shared" si="34"/>
        <v>2400.1019999999999</v>
      </c>
      <c r="G102" s="40">
        <f>INT(INDEX(F$97:F$104,MATCH(INT((ROWS(F$97:F102)-1)/2+1),F$105:F$112,0)))</f>
        <v>2400</v>
      </c>
      <c r="H102" s="51">
        <f t="shared" si="29"/>
        <v>2400</v>
      </c>
      <c r="I102" s="40">
        <f>IF(F$90&lt;1,200,IF(G102=2400,I101,INDEX(I$70:I$77,MATCH(INT((ROWS(F$105:F110)-2)/2)+1,F$105:F$112,0))))</f>
        <v>200</v>
      </c>
      <c r="J102" s="40">
        <f t="shared" si="35"/>
        <v>2400.1019999999999</v>
      </c>
      <c r="K102" s="40">
        <f>INT(INDEX(J$97:J$104,MATCH(INT((ROWS(J$97:J102)-1)/2+1),J$105:J$112,0)))</f>
        <v>2400</v>
      </c>
      <c r="L102" s="51">
        <f t="shared" si="29"/>
        <v>2400</v>
      </c>
      <c r="M102" s="40">
        <f>IF(J$90&lt;1,200,IF(K102=2400,M101,INDEX(M$70:M$77,MATCH(INT((ROWS(J$105:J110)-2)/2)+1,J$105:J$112,0))))</f>
        <v>200</v>
      </c>
      <c r="N102" s="40">
        <f t="shared" si="36"/>
        <v>2400.1019999999999</v>
      </c>
      <c r="O102" s="40">
        <f>INT(INDEX(N$97:N$104,MATCH(INT((ROWS(N$97:N102)-1)/2+1),N$105:N$112,0)))</f>
        <v>2400</v>
      </c>
      <c r="P102" s="51">
        <f t="shared" si="29"/>
        <v>2400</v>
      </c>
      <c r="Q102" s="40">
        <f>IF(N$90&lt;1,200,IF(O102=2400,Q101,INDEX(Q$70:Q$77,MATCH(INT((ROWS(N$105:N110)-2)/2)+1,N$105:N$112,0))))</f>
        <v>200</v>
      </c>
      <c r="R102" s="40">
        <f t="shared" si="37"/>
        <v>2400.1019999999999</v>
      </c>
      <c r="S102" s="40">
        <f>INT(INDEX(R$97:R$104,MATCH(INT((ROWS(R$97:R102)-1)/2+1),R$105:R$112,0)))</f>
        <v>2400</v>
      </c>
      <c r="T102" s="51">
        <f t="shared" si="29"/>
        <v>2400</v>
      </c>
      <c r="U102" s="40">
        <f>IF(R$90&lt;1,200,IF(S102=2400,U101,INDEX(U$70:U$77,MATCH(INT((ROWS(R$105:R110)-2)/2)+1,R$105:R$112,0))))</f>
        <v>200</v>
      </c>
      <c r="V102" s="83"/>
      <c r="W102" s="80"/>
      <c r="X102" s="40"/>
      <c r="Y102" s="40"/>
    </row>
    <row r="103" spans="1:25">
      <c r="A103" s="51"/>
      <c r="B103" s="40">
        <f t="shared" si="38"/>
        <v>2400.1030000000001</v>
      </c>
      <c r="C103" s="40">
        <f>INT(INDEX(B$97:B$104,MATCH(INT((ROWS(B$97:B103)-1)/2+1),B$105:B$112,0)))</f>
        <v>2400</v>
      </c>
      <c r="D103" s="51">
        <f t="shared" si="33"/>
        <v>2400</v>
      </c>
      <c r="E103" s="40">
        <f>IF(B$90&lt;1,200,IF(C103=2400,E102,INDEX(E$70:E$77,MATCH(INT((ROWS(B$105:B111)-2)/2)+1,B$105:B$112,0))))</f>
        <v>200</v>
      </c>
      <c r="F103" s="40">
        <f t="shared" si="34"/>
        <v>2400.1030000000001</v>
      </c>
      <c r="G103" s="40">
        <f>INT(INDEX(F$97:F$104,MATCH(INT((ROWS(F$97:F103)-1)/2+1),F$105:F$112,0)))</f>
        <v>2400</v>
      </c>
      <c r="H103" s="51">
        <f t="shared" si="29"/>
        <v>2400</v>
      </c>
      <c r="I103" s="40">
        <f>IF(F$90&lt;1,200,IF(G103=2400,I102,INDEX(I$70:I$77,MATCH(INT((ROWS(F$105:F111)-2)/2)+1,F$105:F$112,0))))</f>
        <v>200</v>
      </c>
      <c r="J103" s="40">
        <f t="shared" si="35"/>
        <v>2400.1030000000001</v>
      </c>
      <c r="K103" s="40">
        <f>INT(INDEX(J$97:J$104,MATCH(INT((ROWS(J$97:J103)-1)/2+1),J$105:J$112,0)))</f>
        <v>2400</v>
      </c>
      <c r="L103" s="51">
        <f t="shared" si="29"/>
        <v>2400</v>
      </c>
      <c r="M103" s="40">
        <f>IF(J$90&lt;1,200,IF(K103=2400,M102,INDEX(M$70:M$77,MATCH(INT((ROWS(J$105:J111)-2)/2)+1,J$105:J$112,0))))</f>
        <v>200</v>
      </c>
      <c r="N103" s="40">
        <f t="shared" si="36"/>
        <v>2400.1030000000001</v>
      </c>
      <c r="O103" s="40">
        <f>INT(INDEX(N$97:N$104,MATCH(INT((ROWS(N$97:N103)-1)/2+1),N$105:N$112,0)))</f>
        <v>2400</v>
      </c>
      <c r="P103" s="51">
        <f t="shared" si="29"/>
        <v>2400</v>
      </c>
      <c r="Q103" s="40">
        <f>IF(N$90&lt;1,200,IF(O103=2400,Q102,INDEX(Q$70:Q$77,MATCH(INT((ROWS(N$105:N111)-2)/2)+1,N$105:N$112,0))))</f>
        <v>200</v>
      </c>
      <c r="R103" s="40">
        <f t="shared" si="37"/>
        <v>2400.1030000000001</v>
      </c>
      <c r="S103" s="40">
        <f>INT(INDEX(R$97:R$104,MATCH(INT((ROWS(R$97:R103)-1)/2+1),R$105:R$112,0)))</f>
        <v>2400</v>
      </c>
      <c r="T103" s="51">
        <f t="shared" si="29"/>
        <v>2400</v>
      </c>
      <c r="U103" s="40">
        <f>IF(R$90&lt;1,200,IF(S103=2400,U102,INDEX(U$70:U$77,MATCH(INT((ROWS(R$105:R111)-2)/2)+1,R$105:R$112,0))))</f>
        <v>200</v>
      </c>
      <c r="V103" s="83"/>
      <c r="W103" s="80"/>
      <c r="X103" s="40"/>
      <c r="Y103" s="40"/>
    </row>
    <row r="104" spans="1:25">
      <c r="A104" s="51"/>
      <c r="B104" s="40">
        <f t="shared" si="38"/>
        <v>2400.1039999999998</v>
      </c>
      <c r="C104" s="40">
        <f>INT(INDEX(B$97:B$104,MATCH(INT((ROWS(B$97:B104)-1)/2+1),B$105:B$112,0)))</f>
        <v>2400</v>
      </c>
      <c r="D104" s="51">
        <f t="shared" si="33"/>
        <v>2400</v>
      </c>
      <c r="E104" s="40">
        <f>IF(B$90&lt;1,200,IF(C104=2400,E103,INDEX(E$70:E$77,MATCH(INT((ROWS(B$105:B112)-2)/2)+1,B$105:B$112,0))))</f>
        <v>200</v>
      </c>
      <c r="F104" s="40">
        <f t="shared" si="34"/>
        <v>2400.1039999999998</v>
      </c>
      <c r="G104" s="40">
        <f>INT(INDEX(F$97:F$104,MATCH(INT((ROWS(F$97:F104)-1)/2+1),F$105:F$112,0)))</f>
        <v>2400</v>
      </c>
      <c r="H104" s="51">
        <f t="shared" si="29"/>
        <v>2400</v>
      </c>
      <c r="I104" s="40">
        <f>IF(F$90&lt;1,200,IF(G104=2400,I103,INDEX(I$70:I$77,MATCH(INT((ROWS(F$105:F112)-2)/2)+1,F$105:F$112,0))))</f>
        <v>200</v>
      </c>
      <c r="J104" s="40">
        <f t="shared" si="35"/>
        <v>2400.1039999999998</v>
      </c>
      <c r="K104" s="40">
        <f>INT(INDEX(J$97:J$104,MATCH(INT((ROWS(J$97:J104)-1)/2+1),J$105:J$112,0)))</f>
        <v>2400</v>
      </c>
      <c r="L104" s="51">
        <f t="shared" si="29"/>
        <v>2400</v>
      </c>
      <c r="M104" s="40">
        <f>IF(J$90&lt;1,200,IF(K104=2400,M103,INDEX(M$70:M$77,MATCH(INT((ROWS(J$105:J112)-2)/2)+1,J$105:J$112,0))))</f>
        <v>200</v>
      </c>
      <c r="N104" s="40">
        <f t="shared" si="36"/>
        <v>2400.1039999999998</v>
      </c>
      <c r="O104" s="40">
        <f>INT(INDEX(N$97:N$104,MATCH(INT((ROWS(N$97:N104)-1)/2+1),N$105:N$112,0)))</f>
        <v>2400</v>
      </c>
      <c r="P104" s="51">
        <f t="shared" si="29"/>
        <v>2400</v>
      </c>
      <c r="Q104" s="40">
        <f>IF(N$90&lt;1,200,IF(O104=2400,Q103,INDEX(Q$70:Q$77,MATCH(INT((ROWS(N$105:N112)-2)/2)+1,N$105:N$112,0))))</f>
        <v>200</v>
      </c>
      <c r="R104" s="40">
        <f t="shared" si="37"/>
        <v>2400.1039999999998</v>
      </c>
      <c r="S104" s="40">
        <f>INT(INDEX(R$97:R$104,MATCH(INT((ROWS(R$97:R104)-1)/2+1),R$105:R$112,0)))</f>
        <v>2400</v>
      </c>
      <c r="T104" s="51">
        <f t="shared" si="29"/>
        <v>2400</v>
      </c>
      <c r="U104" s="40">
        <f>IF(R$90&lt;1,200,IF(S104=2400,U103,INDEX(U$70:U$77,MATCH(INT((ROWS(R$105:R112)-2)/2)+1,R$105:R$112,0))))</f>
        <v>200</v>
      </c>
      <c r="V104" s="83"/>
      <c r="W104" s="80"/>
      <c r="X104" s="40"/>
      <c r="Y104" s="40"/>
    </row>
    <row r="105" spans="1:25">
      <c r="A105" s="51"/>
      <c r="B105" s="40">
        <f>COUNTIF(B$97:B$104,"&lt;="&amp;B97)</f>
        <v>1</v>
      </c>
      <c r="C105" s="40">
        <f>INT(INDEX(B$97:B$104,MATCH(INT((ROWS(B$97:B105)-1)/2+1),B$105:B$112,0)))</f>
        <v>2400</v>
      </c>
      <c r="D105" s="51">
        <f t="shared" si="33"/>
        <v>2400</v>
      </c>
      <c r="E105" s="40">
        <f>IF(B$90&lt;1,200,IF(C105=2400,E104,INDEX(E$70:E$77,MATCH(INT((ROWS(B$105:B113)-2)/2)+1,B$105:B$112,0))))</f>
        <v>200</v>
      </c>
      <c r="F105" s="40">
        <f t="shared" ref="F105:R112" si="39">COUNTIF(F$97:F$104,"&lt;="&amp;F97)</f>
        <v>1</v>
      </c>
      <c r="G105" s="40">
        <f>INT(INDEX(F$97:F$104,MATCH(INT((ROWS(F$97:F105)-1)/2+1),F$105:F$112,0)))</f>
        <v>2400</v>
      </c>
      <c r="H105" s="51">
        <f t="shared" si="29"/>
        <v>2400</v>
      </c>
      <c r="I105" s="40">
        <f>IF(F$90&lt;1,200,IF(G105=2400,I104,INDEX(I$70:I$77,MATCH(INT((ROWS(F$105:F113)-2)/2)+1,F$105:F$112,0))))</f>
        <v>200</v>
      </c>
      <c r="J105" s="40">
        <f t="shared" ref="J105" si="40">COUNTIF(J$97:J$104,"&lt;="&amp;J97)</f>
        <v>1</v>
      </c>
      <c r="K105" s="40">
        <f>INT(INDEX(J$97:J$104,MATCH(INT((ROWS(J$97:J105)-1)/2+1),J$105:J$112,0)))</f>
        <v>2400</v>
      </c>
      <c r="L105" s="51">
        <f t="shared" si="29"/>
        <v>2400</v>
      </c>
      <c r="M105" s="40">
        <f>IF(J$90&lt;1,200,IF(K105=2400,M104,INDEX(M$70:M$77,MATCH(INT((ROWS(J$105:J113)-2)/2)+1,J$105:J$112,0))))</f>
        <v>200</v>
      </c>
      <c r="N105" s="40">
        <f t="shared" ref="N105" si="41">COUNTIF(N$97:N$104,"&lt;="&amp;N97)</f>
        <v>1</v>
      </c>
      <c r="O105" s="40">
        <f>INT(INDEX(N$97:N$104,MATCH(INT((ROWS(N$97:N105)-1)/2+1),N$105:N$112,0)))</f>
        <v>2400</v>
      </c>
      <c r="P105" s="51">
        <f t="shared" si="29"/>
        <v>2400</v>
      </c>
      <c r="Q105" s="40">
        <f>IF(N$90&lt;1,200,IF(O105=2400,Q104,INDEX(Q$70:Q$77,MATCH(INT((ROWS(N$105:N113)-2)/2)+1,N$105:N$112,0))))</f>
        <v>200</v>
      </c>
      <c r="R105" s="40">
        <f t="shared" ref="R105" si="42">COUNTIF(R$97:R$104,"&lt;="&amp;R97)</f>
        <v>1</v>
      </c>
      <c r="S105" s="40">
        <f>INT(INDEX(R$97:R$104,MATCH(INT((ROWS(R$97:R105)-1)/2+1),R$105:R$112,0)))</f>
        <v>2400</v>
      </c>
      <c r="T105" s="51">
        <f t="shared" si="29"/>
        <v>2400</v>
      </c>
      <c r="U105" s="40">
        <f>IF(R$90&lt;1,200,IF(S105=2400,U104,INDEX(U$70:U$77,MATCH(INT((ROWS(R$105:R113)-2)/2)+1,R$105:R$112,0))))</f>
        <v>200</v>
      </c>
      <c r="V105" s="97"/>
      <c r="W105" s="81"/>
      <c r="X105" s="51"/>
      <c r="Y105" s="51"/>
    </row>
    <row r="106" spans="1:25">
      <c r="A106" s="51"/>
      <c r="B106" s="40">
        <f t="shared" ref="B106:B112" si="43">COUNTIF(B$97:B$104,"&lt;="&amp;B98)</f>
        <v>2</v>
      </c>
      <c r="C106" s="40">
        <f>INT(INDEX(B$97:B$104,MATCH(INT((ROWS(B$97:B106)-1)/2+1),B$105:B$112,0)))</f>
        <v>2400</v>
      </c>
      <c r="D106" s="51">
        <f t="shared" si="33"/>
        <v>2400</v>
      </c>
      <c r="E106" s="40">
        <f>IF(B$90&lt;1,200,IF(C106=2400,E105,INDEX(E$70:E$77,MATCH(INT((ROWS(B$105:B114)-2)/2)+1,B$105:B$112,0))))</f>
        <v>200</v>
      </c>
      <c r="F106" s="40">
        <f t="shared" si="39"/>
        <v>2</v>
      </c>
      <c r="G106" s="40">
        <f>INT(INDEX(F$97:F$104,MATCH(INT((ROWS(F$97:F106)-1)/2+1),F$105:F$112,0)))</f>
        <v>2400</v>
      </c>
      <c r="H106" s="51">
        <f t="shared" si="29"/>
        <v>2400</v>
      </c>
      <c r="I106" s="40">
        <f>IF(F$90&lt;1,200,IF(G106=2400,I105,INDEX(I$70:I$77,MATCH(INT((ROWS(F$105:F114)-2)/2)+1,F$105:F$112,0))))</f>
        <v>200</v>
      </c>
      <c r="J106" s="40">
        <f t="shared" si="39"/>
        <v>2</v>
      </c>
      <c r="K106" s="40">
        <f>INT(INDEX(J$97:J$104,MATCH(INT((ROWS(J$97:J106)-1)/2+1),J$105:J$112,0)))</f>
        <v>2400</v>
      </c>
      <c r="L106" s="51">
        <f t="shared" si="29"/>
        <v>2400</v>
      </c>
      <c r="M106" s="40">
        <f>IF(J$90&lt;1,200,IF(K106=2400,M105,INDEX(M$70:M$77,MATCH(INT((ROWS(J$105:J114)-2)/2)+1,J$105:J$112,0))))</f>
        <v>200</v>
      </c>
      <c r="N106" s="40">
        <f t="shared" si="39"/>
        <v>2</v>
      </c>
      <c r="O106" s="40">
        <f>INT(INDEX(N$97:N$104,MATCH(INT((ROWS(N$97:N106)-1)/2+1),N$105:N$112,0)))</f>
        <v>2400</v>
      </c>
      <c r="P106" s="51">
        <f t="shared" si="29"/>
        <v>2400</v>
      </c>
      <c r="Q106" s="40">
        <f>IF(N$90&lt;1,200,IF(O106=2400,Q105,INDEX(Q$70:Q$77,MATCH(INT((ROWS(N$105:N114)-2)/2)+1,N$105:N$112,0))))</f>
        <v>200</v>
      </c>
      <c r="R106" s="40">
        <f t="shared" si="39"/>
        <v>2</v>
      </c>
      <c r="S106" s="40">
        <f>INT(INDEX(R$97:R$104,MATCH(INT((ROWS(R$97:R106)-1)/2+1),R$105:R$112,0)))</f>
        <v>2400</v>
      </c>
      <c r="T106" s="51">
        <f t="shared" si="29"/>
        <v>2400</v>
      </c>
      <c r="U106" s="40">
        <f>IF(R$90&lt;1,200,IF(S106=2400,U105,INDEX(U$70:U$77,MATCH(INT((ROWS(R$105:R114)-2)/2)+1,R$105:R$112,0))))</f>
        <v>200</v>
      </c>
      <c r="V106" s="97"/>
      <c r="W106" s="81"/>
      <c r="X106" s="51"/>
      <c r="Y106" s="51"/>
    </row>
    <row r="107" spans="1:25">
      <c r="A107" s="51"/>
      <c r="B107" s="40">
        <f t="shared" si="43"/>
        <v>3</v>
      </c>
      <c r="C107" s="40">
        <f>INT(INDEX(B$97:B$104,MATCH(INT((ROWS(B$97:B107)-1)/2+1),B$105:B$112,0)))</f>
        <v>2400</v>
      </c>
      <c r="D107" s="51">
        <f t="shared" si="33"/>
        <v>2400</v>
      </c>
      <c r="E107" s="40">
        <f>IF(B$90&lt;1,200,IF(C107=2400,E106,INDEX(E$70:E$77,MATCH(INT((ROWS(B$105:B115)-2)/2)+1,B$105:B$112,0))))</f>
        <v>200</v>
      </c>
      <c r="F107" s="40">
        <f t="shared" si="39"/>
        <v>3</v>
      </c>
      <c r="G107" s="40">
        <f>INT(INDEX(F$97:F$104,MATCH(INT((ROWS(F$97:F107)-1)/2+1),F$105:F$112,0)))</f>
        <v>2400</v>
      </c>
      <c r="H107" s="51">
        <f t="shared" si="29"/>
        <v>2400</v>
      </c>
      <c r="I107" s="40">
        <f>IF(F$90&lt;1,200,IF(G107=2400,I106,INDEX(I$70:I$77,MATCH(INT((ROWS(F$105:F115)-2)/2)+1,F$105:F$112,0))))</f>
        <v>200</v>
      </c>
      <c r="J107" s="40">
        <f t="shared" si="39"/>
        <v>3</v>
      </c>
      <c r="K107" s="40">
        <f>INT(INDEX(J$97:J$104,MATCH(INT((ROWS(J$97:J107)-1)/2+1),J$105:J$112,0)))</f>
        <v>2400</v>
      </c>
      <c r="L107" s="51">
        <f t="shared" si="29"/>
        <v>2400</v>
      </c>
      <c r="M107" s="40">
        <f>IF(J$90&lt;1,200,IF(K107=2400,M106,INDEX(M$70:M$77,MATCH(INT((ROWS(J$105:J115)-2)/2)+1,J$105:J$112,0))))</f>
        <v>200</v>
      </c>
      <c r="N107" s="40">
        <f t="shared" si="39"/>
        <v>3</v>
      </c>
      <c r="O107" s="40">
        <f>INT(INDEX(N$97:N$104,MATCH(INT((ROWS(N$97:N107)-1)/2+1),N$105:N$112,0)))</f>
        <v>2400</v>
      </c>
      <c r="P107" s="51">
        <f t="shared" si="29"/>
        <v>2400</v>
      </c>
      <c r="Q107" s="40">
        <f>IF(N$90&lt;1,200,IF(O107=2400,Q106,INDEX(Q$70:Q$77,MATCH(INT((ROWS(N$105:N115)-2)/2)+1,N$105:N$112,0))))</f>
        <v>200</v>
      </c>
      <c r="R107" s="40">
        <f t="shared" si="39"/>
        <v>3</v>
      </c>
      <c r="S107" s="40">
        <f>INT(INDEX(R$97:R$104,MATCH(INT((ROWS(R$97:R107)-1)/2+1),R$105:R$112,0)))</f>
        <v>2400</v>
      </c>
      <c r="T107" s="51">
        <f t="shared" si="29"/>
        <v>2400</v>
      </c>
      <c r="U107" s="40">
        <f>IF(R$90&lt;1,200,IF(S107=2400,U106,INDEX(U$70:U$77,MATCH(INT((ROWS(R$105:R115)-2)/2)+1,R$105:R$112,0))))</f>
        <v>200</v>
      </c>
      <c r="V107" s="97"/>
      <c r="W107" s="81"/>
      <c r="X107" s="51"/>
      <c r="Y107" s="51"/>
    </row>
    <row r="108" spans="1:25">
      <c r="A108" s="51"/>
      <c r="B108" s="40">
        <f t="shared" si="43"/>
        <v>4</v>
      </c>
      <c r="C108" s="40">
        <f>INT(INDEX(B$97:B$104,MATCH(INT((ROWS(B$97:B108)-1)/2+1),B$105:B$112,0)))</f>
        <v>2400</v>
      </c>
      <c r="D108" s="51">
        <f t="shared" si="33"/>
        <v>2400</v>
      </c>
      <c r="E108" s="40">
        <f>IF(B$90&lt;1,200,IF(C108=2400,E107,INDEX(E$70:E$77,MATCH(INT((ROWS(B$105:B116)-2)/2)+1,B$105:B$112,0))))</f>
        <v>200</v>
      </c>
      <c r="F108" s="40">
        <f t="shared" si="39"/>
        <v>4</v>
      </c>
      <c r="G108" s="40">
        <f>INT(INDEX(F$97:F$104,MATCH(INT((ROWS(F$97:F108)-1)/2+1),F$105:F$112,0)))</f>
        <v>2400</v>
      </c>
      <c r="H108" s="51">
        <f t="shared" si="29"/>
        <v>2400</v>
      </c>
      <c r="I108" s="40">
        <f>IF(F$90&lt;1,200,IF(G108=2400,I107,INDEX(I$70:I$77,MATCH(INT((ROWS(F$105:F116)-2)/2)+1,F$105:F$112,0))))</f>
        <v>200</v>
      </c>
      <c r="J108" s="40">
        <f t="shared" si="39"/>
        <v>4</v>
      </c>
      <c r="K108" s="40">
        <f>INT(INDEX(J$97:J$104,MATCH(INT((ROWS(J$97:J108)-1)/2+1),J$105:J$112,0)))</f>
        <v>2400</v>
      </c>
      <c r="L108" s="51">
        <f t="shared" si="29"/>
        <v>2400</v>
      </c>
      <c r="M108" s="40">
        <f>IF(J$90&lt;1,200,IF(K108=2400,M107,INDEX(M$70:M$77,MATCH(INT((ROWS(J$105:J116)-2)/2)+1,J$105:J$112,0))))</f>
        <v>200</v>
      </c>
      <c r="N108" s="40">
        <f t="shared" si="39"/>
        <v>4</v>
      </c>
      <c r="O108" s="40">
        <f>INT(INDEX(N$97:N$104,MATCH(INT((ROWS(N$97:N108)-1)/2+1),N$105:N$112,0)))</f>
        <v>2400</v>
      </c>
      <c r="P108" s="51">
        <f t="shared" si="29"/>
        <v>2400</v>
      </c>
      <c r="Q108" s="40">
        <f>IF(N$90&lt;1,200,IF(O108=2400,Q107,INDEX(Q$70:Q$77,MATCH(INT((ROWS(N$105:N116)-2)/2)+1,N$105:N$112,0))))</f>
        <v>200</v>
      </c>
      <c r="R108" s="40">
        <f t="shared" si="39"/>
        <v>4</v>
      </c>
      <c r="S108" s="40">
        <f>INT(INDEX(R$97:R$104,MATCH(INT((ROWS(R$97:R108)-1)/2+1),R$105:R$112,0)))</f>
        <v>2400</v>
      </c>
      <c r="T108" s="51">
        <f t="shared" si="29"/>
        <v>2400</v>
      </c>
      <c r="U108" s="40">
        <f>IF(R$90&lt;1,200,IF(S108=2400,U107,INDEX(U$70:U$77,MATCH(INT((ROWS(R$105:R116)-2)/2)+1,R$105:R$112,0))))</f>
        <v>200</v>
      </c>
      <c r="V108" s="97"/>
      <c r="W108" s="81"/>
      <c r="X108" s="51"/>
      <c r="Y108" s="51"/>
    </row>
    <row r="109" spans="1:25">
      <c r="A109" s="51"/>
      <c r="B109" s="40">
        <f t="shared" si="43"/>
        <v>5</v>
      </c>
      <c r="C109" s="40">
        <f>INT(INDEX(B$97:B$104,MATCH(INT((ROWS(B$97:B109)-1)/2+1),B$105:B$112,0)))</f>
        <v>2400</v>
      </c>
      <c r="D109" s="51">
        <f t="shared" si="33"/>
        <v>2400</v>
      </c>
      <c r="E109" s="40">
        <f>IF(B$90&lt;1,200,IF(C109=2400,E108,INDEX(E$70:E$77,MATCH(INT((ROWS(B$105:B117)-2)/2)+1,B$105:B$112,0))))</f>
        <v>200</v>
      </c>
      <c r="F109" s="40">
        <f t="shared" si="39"/>
        <v>5</v>
      </c>
      <c r="G109" s="40">
        <f>INT(INDEX(F$97:F$104,MATCH(INT((ROWS(F$97:F109)-1)/2+1),F$105:F$112,0)))</f>
        <v>2400</v>
      </c>
      <c r="H109" s="51">
        <f t="shared" si="29"/>
        <v>2400</v>
      </c>
      <c r="I109" s="40">
        <f>IF(F$90&lt;1,200,IF(G109=2400,I108,INDEX(I$70:I$77,MATCH(INT((ROWS(F$105:F117)-2)/2)+1,F$105:F$112,0))))</f>
        <v>200</v>
      </c>
      <c r="J109" s="40">
        <f t="shared" si="39"/>
        <v>5</v>
      </c>
      <c r="K109" s="40">
        <f>INT(INDEX(J$97:J$104,MATCH(INT((ROWS(J$97:J109)-1)/2+1),J$105:J$112,0)))</f>
        <v>2400</v>
      </c>
      <c r="L109" s="51">
        <f t="shared" si="29"/>
        <v>2400</v>
      </c>
      <c r="M109" s="40">
        <f>IF(J$90&lt;1,200,IF(K109=2400,M108,INDEX(M$70:M$77,MATCH(INT((ROWS(J$105:J117)-2)/2)+1,J$105:J$112,0))))</f>
        <v>200</v>
      </c>
      <c r="N109" s="40">
        <f t="shared" si="39"/>
        <v>5</v>
      </c>
      <c r="O109" s="40">
        <f>INT(INDEX(N$97:N$104,MATCH(INT((ROWS(N$97:N109)-1)/2+1),N$105:N$112,0)))</f>
        <v>2400</v>
      </c>
      <c r="P109" s="51">
        <f t="shared" si="29"/>
        <v>2400</v>
      </c>
      <c r="Q109" s="40">
        <f>IF(N$90&lt;1,200,IF(O109=2400,Q108,INDEX(Q$70:Q$77,MATCH(INT((ROWS(N$105:N117)-2)/2)+1,N$105:N$112,0))))</f>
        <v>200</v>
      </c>
      <c r="R109" s="40">
        <f t="shared" si="39"/>
        <v>5</v>
      </c>
      <c r="S109" s="40">
        <f>INT(INDEX(R$97:R$104,MATCH(INT((ROWS(R$97:R109)-1)/2+1),R$105:R$112,0)))</f>
        <v>2400</v>
      </c>
      <c r="T109" s="51">
        <f t="shared" si="29"/>
        <v>2400</v>
      </c>
      <c r="U109" s="40">
        <f>IF(R$90&lt;1,200,IF(S109=2400,U108,INDEX(U$70:U$77,MATCH(INT((ROWS(R$105:R117)-2)/2)+1,R$105:R$112,0))))</f>
        <v>200</v>
      </c>
      <c r="V109" s="97"/>
      <c r="W109" s="81"/>
      <c r="X109" s="51"/>
      <c r="Y109" s="51"/>
    </row>
    <row r="110" spans="1:25">
      <c r="A110" s="51"/>
      <c r="B110" s="40">
        <f t="shared" si="43"/>
        <v>6</v>
      </c>
      <c r="C110" s="40">
        <f>INT(INDEX(B$97:B$104,MATCH(INT((ROWS(B$97:B110)-1)/2+1),B$105:B$112,0)))</f>
        <v>2400</v>
      </c>
      <c r="D110" s="51">
        <f t="shared" si="33"/>
        <v>2400</v>
      </c>
      <c r="E110" s="40">
        <f>IF(B$90&lt;1,200,IF(C110=2400,E109,INDEX(E$70:E$77,MATCH(INT((ROWS(B$105:B118)-2)/2)+1,B$105:B$112,0))))</f>
        <v>200</v>
      </c>
      <c r="F110" s="40">
        <f t="shared" si="39"/>
        <v>6</v>
      </c>
      <c r="G110" s="40">
        <f>INT(INDEX(F$97:F$104,MATCH(INT((ROWS(F$97:F110)-1)/2+1),F$105:F$112,0)))</f>
        <v>2400</v>
      </c>
      <c r="H110" s="51">
        <f t="shared" si="29"/>
        <v>2400</v>
      </c>
      <c r="I110" s="40">
        <f>IF(F$90&lt;1,200,IF(G110=2400,I109,INDEX(I$70:I$77,MATCH(INT((ROWS(F$105:F118)-2)/2)+1,F$105:F$112,0))))</f>
        <v>200</v>
      </c>
      <c r="J110" s="40">
        <f t="shared" si="39"/>
        <v>6</v>
      </c>
      <c r="K110" s="40">
        <f>INT(INDEX(J$97:J$104,MATCH(INT((ROWS(J$97:J110)-1)/2+1),J$105:J$112,0)))</f>
        <v>2400</v>
      </c>
      <c r="L110" s="51">
        <f t="shared" si="29"/>
        <v>2400</v>
      </c>
      <c r="M110" s="40">
        <f>IF(J$90&lt;1,200,IF(K110=2400,M109,INDEX(M$70:M$77,MATCH(INT((ROWS(J$105:J118)-2)/2)+1,J$105:J$112,0))))</f>
        <v>200</v>
      </c>
      <c r="N110" s="40">
        <f t="shared" si="39"/>
        <v>6</v>
      </c>
      <c r="O110" s="40">
        <f>INT(INDEX(N$97:N$104,MATCH(INT((ROWS(N$97:N110)-1)/2+1),N$105:N$112,0)))</f>
        <v>2400</v>
      </c>
      <c r="P110" s="51">
        <f t="shared" si="29"/>
        <v>2400</v>
      </c>
      <c r="Q110" s="40">
        <f>IF(N$90&lt;1,200,IF(O110=2400,Q109,INDEX(Q$70:Q$77,MATCH(INT((ROWS(N$105:N118)-2)/2)+1,N$105:N$112,0))))</f>
        <v>200</v>
      </c>
      <c r="R110" s="40">
        <f t="shared" si="39"/>
        <v>6</v>
      </c>
      <c r="S110" s="40">
        <f>INT(INDEX(R$97:R$104,MATCH(INT((ROWS(R$97:R110)-1)/2+1),R$105:R$112,0)))</f>
        <v>2400</v>
      </c>
      <c r="T110" s="51">
        <f t="shared" si="29"/>
        <v>2400</v>
      </c>
      <c r="U110" s="40">
        <f>IF(R$90&lt;1,200,IF(S110=2400,U109,INDEX(U$70:U$77,MATCH(INT((ROWS(R$105:R118)-2)/2)+1,R$105:R$112,0))))</f>
        <v>200</v>
      </c>
      <c r="V110" s="97"/>
      <c r="W110" s="81"/>
      <c r="X110" s="51"/>
      <c r="Y110" s="51"/>
    </row>
    <row r="111" spans="1:25">
      <c r="A111" s="51"/>
      <c r="B111" s="40">
        <f t="shared" si="43"/>
        <v>7</v>
      </c>
      <c r="C111" s="40">
        <f>INT(INDEX(B$97:B$104,MATCH(INT((ROWS(B$97:B111)-1)/2+1),B$105:B$112,0)))</f>
        <v>2400</v>
      </c>
      <c r="D111" s="51">
        <f t="shared" si="33"/>
        <v>2400</v>
      </c>
      <c r="E111" s="40">
        <f>IF(B$90&lt;1,200,IF(C111=2400,E110,INDEX(E$70:E$77,MATCH(INT((ROWS(B$105:B119)-2)/2)+1,B$105:B$112,0))))</f>
        <v>200</v>
      </c>
      <c r="F111" s="40">
        <f t="shared" si="39"/>
        <v>7</v>
      </c>
      <c r="G111" s="40">
        <f>INT(INDEX(F$97:F$104,MATCH(INT((ROWS(F$97:F111)-1)/2+1),F$105:F$112,0)))</f>
        <v>2400</v>
      </c>
      <c r="H111" s="51">
        <f t="shared" si="29"/>
        <v>2400</v>
      </c>
      <c r="I111" s="40">
        <f>IF(F$90&lt;1,200,IF(G111=2400,I110,INDEX(I$70:I$77,MATCH(INT((ROWS(F$105:F119)-2)/2)+1,F$105:F$112,0))))</f>
        <v>200</v>
      </c>
      <c r="J111" s="40">
        <f t="shared" si="39"/>
        <v>7</v>
      </c>
      <c r="K111" s="40">
        <f>INT(INDEX(J$97:J$104,MATCH(INT((ROWS(J$97:J111)-1)/2+1),J$105:J$112,0)))</f>
        <v>2400</v>
      </c>
      <c r="L111" s="51">
        <f t="shared" si="29"/>
        <v>2400</v>
      </c>
      <c r="M111" s="40">
        <f>IF(J$90&lt;1,200,IF(K111=2400,M110,INDEX(M$70:M$77,MATCH(INT((ROWS(J$105:J119)-2)/2)+1,J$105:J$112,0))))</f>
        <v>200</v>
      </c>
      <c r="N111" s="40">
        <f t="shared" si="39"/>
        <v>7</v>
      </c>
      <c r="O111" s="40">
        <f>INT(INDEX(N$97:N$104,MATCH(INT((ROWS(N$97:N111)-1)/2+1),N$105:N$112,0)))</f>
        <v>2400</v>
      </c>
      <c r="P111" s="51">
        <f t="shared" si="29"/>
        <v>2400</v>
      </c>
      <c r="Q111" s="40">
        <f>IF(N$90&lt;1,200,IF(O111=2400,Q110,INDEX(Q$70:Q$77,MATCH(INT((ROWS(N$105:N119)-2)/2)+1,N$105:N$112,0))))</f>
        <v>200</v>
      </c>
      <c r="R111" s="40">
        <f t="shared" si="39"/>
        <v>7</v>
      </c>
      <c r="S111" s="40">
        <f>INT(INDEX(R$97:R$104,MATCH(INT((ROWS(R$97:R111)-1)/2+1),R$105:R$112,0)))</f>
        <v>2400</v>
      </c>
      <c r="T111" s="51">
        <f t="shared" si="29"/>
        <v>2400</v>
      </c>
      <c r="U111" s="40">
        <f>IF(R$90&lt;1,200,IF(S111=2400,U110,INDEX(U$70:U$77,MATCH(INT((ROWS(R$105:R119)-2)/2)+1,R$105:R$112,0))))</f>
        <v>200</v>
      </c>
      <c r="V111" s="97"/>
      <c r="W111" s="81"/>
      <c r="X111" s="51"/>
      <c r="Y111" s="51"/>
    </row>
    <row r="112" spans="1:25">
      <c r="A112" s="51"/>
      <c r="B112" s="40">
        <f t="shared" si="43"/>
        <v>8</v>
      </c>
      <c r="C112" s="40">
        <f>INT(INDEX(B$97:B$104,MATCH(INT((ROWS(B$97:B112)-1)/2+1),B$105:B$112,0)))</f>
        <v>2400</v>
      </c>
      <c r="D112" s="51">
        <f t="shared" si="33"/>
        <v>2400</v>
      </c>
      <c r="E112" s="40">
        <f>IF(B$90&lt;1,200,IF(C112=2400,E111,INDEX(E$70:E$77,MATCH(INT((ROWS(B$105:B120)-2)/2)+1,B$105:B$112,0))))</f>
        <v>200</v>
      </c>
      <c r="F112" s="40">
        <f t="shared" si="39"/>
        <v>8</v>
      </c>
      <c r="G112" s="40">
        <f>INT(INDEX(F$97:F$104,MATCH(INT((ROWS(F$97:F112)-1)/2+1),F$105:F$112,0)))</f>
        <v>2400</v>
      </c>
      <c r="H112" s="51">
        <f t="shared" ref="H112:T112" si="44">INT(G112/100)*100+(G112-INT(G112/100)*100)*1.66666</f>
        <v>2400</v>
      </c>
      <c r="I112" s="40">
        <f>IF(F$90&lt;1,200,IF(G112=2400,I111,INDEX(I$70:I$77,MATCH(INT((ROWS(F$105:F120)-2)/2)+1,F$105:F$112,0))))</f>
        <v>200</v>
      </c>
      <c r="J112" s="40">
        <f t="shared" si="39"/>
        <v>8</v>
      </c>
      <c r="K112" s="40">
        <f>INT(INDEX(J$97:J$104,MATCH(INT((ROWS(J$97:J112)-1)/2+1),J$105:J$112,0)))</f>
        <v>2400</v>
      </c>
      <c r="L112" s="51">
        <f t="shared" si="44"/>
        <v>2400</v>
      </c>
      <c r="M112" s="40">
        <f>IF(J$90&lt;1,200,IF(K112=2400,M111,INDEX(M$70:M$77,MATCH(INT((ROWS(J$105:J120)-2)/2)+1,J$105:J$112,0))))</f>
        <v>200</v>
      </c>
      <c r="N112" s="40">
        <f t="shared" si="39"/>
        <v>8</v>
      </c>
      <c r="O112" s="40">
        <f>INT(INDEX(N$97:N$104,MATCH(INT((ROWS(N$97:N112)-1)/2+1),N$105:N$112,0)))</f>
        <v>2400</v>
      </c>
      <c r="P112" s="51">
        <f t="shared" si="44"/>
        <v>2400</v>
      </c>
      <c r="Q112" s="40">
        <f>IF(N$90&lt;1,200,IF(O112=2400,Q111,INDEX(Q$70:Q$77,MATCH(INT((ROWS(N$105:N120)-2)/2)+1,N$105:N$112,0))))</f>
        <v>200</v>
      </c>
      <c r="R112" s="40">
        <f t="shared" si="39"/>
        <v>8</v>
      </c>
      <c r="S112" s="40">
        <f>INT(INDEX(R$97:R$104,MATCH(INT((ROWS(R$97:R112)-1)/2+1),R$105:R$112,0)))</f>
        <v>2400</v>
      </c>
      <c r="T112" s="51">
        <f t="shared" si="44"/>
        <v>2400</v>
      </c>
      <c r="U112" s="40">
        <f>IF(R$90&lt;1,200,IF(S112=2400,U111,INDEX(U$70:U$77,MATCH(INT((ROWS(R$105:R120)-2)/2)+1,R$105:R$112,0))))</f>
        <v>200</v>
      </c>
      <c r="V112" s="97"/>
      <c r="W112" s="81"/>
      <c r="X112" s="51"/>
      <c r="Y112" s="51"/>
    </row>
    <row r="113" spans="1:25">
      <c r="A113" s="97"/>
      <c r="B113" s="97"/>
      <c r="C113" s="97"/>
      <c r="D113" s="97"/>
      <c r="E113" s="97"/>
      <c r="F113" s="97"/>
      <c r="G113" s="97"/>
      <c r="H113" s="97"/>
      <c r="I113" s="97"/>
      <c r="J113" s="97"/>
      <c r="K113" s="97"/>
      <c r="L113" s="97"/>
      <c r="M113" s="97"/>
      <c r="N113" s="97"/>
      <c r="O113" s="98"/>
      <c r="P113" s="97"/>
      <c r="Q113" s="99"/>
      <c r="R113" s="97"/>
      <c r="S113" s="98"/>
      <c r="T113" s="97"/>
      <c r="U113" s="97"/>
      <c r="V113" s="97"/>
      <c r="W113" s="81"/>
      <c r="X113" s="51"/>
      <c r="Y113" s="51"/>
    </row>
    <row r="114" spans="1:25">
      <c r="A114" s="97"/>
      <c r="B114" s="97"/>
      <c r="C114" s="97"/>
      <c r="D114" s="97"/>
      <c r="E114" s="97"/>
      <c r="F114" s="97"/>
      <c r="G114" s="97"/>
      <c r="H114" s="97"/>
      <c r="I114" s="97"/>
      <c r="J114" s="97"/>
      <c r="K114" s="97"/>
      <c r="L114" s="97"/>
      <c r="M114" s="97"/>
      <c r="N114" s="97"/>
      <c r="O114" s="98"/>
      <c r="P114" s="97"/>
      <c r="Q114" s="99"/>
      <c r="R114" s="97"/>
      <c r="S114" s="98"/>
      <c r="T114" s="97"/>
      <c r="U114" s="97"/>
      <c r="V114" s="97"/>
      <c r="W114" s="81"/>
      <c r="X114" s="51"/>
      <c r="Y114" s="51"/>
    </row>
    <row r="115" spans="1:25">
      <c r="A115" s="97"/>
      <c r="B115" s="97"/>
      <c r="C115" s="97"/>
      <c r="D115" s="97"/>
      <c r="E115" s="97"/>
      <c r="F115" s="97"/>
      <c r="G115" s="97"/>
      <c r="H115" s="97"/>
      <c r="I115" s="97"/>
      <c r="J115" s="97"/>
      <c r="K115" s="97"/>
      <c r="L115" s="97"/>
      <c r="M115" s="97"/>
      <c r="N115" s="97"/>
      <c r="O115" s="98"/>
      <c r="P115" s="97"/>
      <c r="Q115" s="99"/>
      <c r="R115" s="97"/>
      <c r="S115" s="98"/>
      <c r="T115" s="97"/>
      <c r="U115" s="97"/>
      <c r="V115" s="97"/>
      <c r="W115" s="81"/>
      <c r="X115" s="51"/>
      <c r="Y115" s="51"/>
    </row>
    <row r="116" spans="1:25">
      <c r="A116" s="97"/>
      <c r="B116" s="97"/>
      <c r="C116" s="97"/>
      <c r="D116" s="97"/>
      <c r="E116" s="97"/>
      <c r="F116" s="97"/>
      <c r="G116" s="97"/>
      <c r="H116" s="97"/>
      <c r="I116" s="97"/>
      <c r="J116" s="97"/>
      <c r="K116" s="97"/>
      <c r="L116" s="97"/>
      <c r="M116" s="97"/>
      <c r="N116" s="97"/>
      <c r="O116" s="98"/>
      <c r="P116" s="97"/>
      <c r="Q116" s="99"/>
      <c r="R116" s="97"/>
      <c r="S116" s="98"/>
      <c r="T116" s="97"/>
      <c r="U116" s="97"/>
      <c r="V116" s="97"/>
      <c r="W116" s="51"/>
      <c r="X116" s="51"/>
      <c r="Y116" s="51"/>
    </row>
    <row r="117" spans="1:25">
      <c r="A117" s="97"/>
      <c r="B117" s="97"/>
      <c r="C117" s="97"/>
      <c r="D117" s="97"/>
      <c r="E117" s="97"/>
      <c r="F117" s="97"/>
      <c r="G117" s="97"/>
      <c r="H117" s="97"/>
      <c r="I117" s="97"/>
      <c r="J117" s="97"/>
      <c r="K117" s="97"/>
      <c r="L117" s="97"/>
      <c r="M117" s="97"/>
      <c r="N117" s="97"/>
      <c r="O117" s="98"/>
      <c r="P117" s="97"/>
      <c r="Q117" s="99"/>
      <c r="R117" s="97"/>
      <c r="S117" s="98"/>
      <c r="T117" s="97"/>
      <c r="U117" s="97"/>
      <c r="V117" s="97"/>
      <c r="W117" s="51"/>
      <c r="X117" s="51"/>
      <c r="Y117" s="51"/>
    </row>
    <row r="118" spans="1:25">
      <c r="A118" s="97"/>
      <c r="B118" s="97"/>
      <c r="C118" s="97"/>
      <c r="D118" s="97"/>
      <c r="E118" s="97"/>
      <c r="F118" s="97"/>
      <c r="G118" s="97"/>
      <c r="H118" s="97"/>
      <c r="I118" s="97"/>
      <c r="J118" s="97"/>
      <c r="K118" s="97"/>
      <c r="L118" s="97"/>
      <c r="M118" s="97"/>
      <c r="N118" s="97"/>
      <c r="O118" s="98"/>
      <c r="P118" s="97"/>
      <c r="Q118" s="99"/>
      <c r="R118" s="97"/>
      <c r="S118" s="98"/>
      <c r="T118" s="97"/>
      <c r="U118" s="97"/>
      <c r="V118" s="97"/>
      <c r="W118" s="51"/>
      <c r="X118" s="51"/>
      <c r="Y118" s="51"/>
    </row>
    <row r="119" spans="1:25">
      <c r="A119" s="97"/>
      <c r="B119" s="97"/>
      <c r="C119" s="97"/>
      <c r="D119" s="97"/>
      <c r="E119" s="97"/>
      <c r="F119" s="97"/>
      <c r="G119" s="97"/>
      <c r="H119" s="97"/>
      <c r="I119" s="97"/>
      <c r="J119" s="97"/>
      <c r="K119" s="97"/>
      <c r="L119" s="97"/>
      <c r="M119" s="97"/>
      <c r="N119" s="97"/>
      <c r="O119" s="98"/>
      <c r="P119" s="97"/>
      <c r="Q119" s="99"/>
      <c r="R119" s="97"/>
      <c r="S119" s="98"/>
      <c r="T119" s="97"/>
      <c r="U119" s="97"/>
      <c r="V119" s="97"/>
      <c r="W119" s="51"/>
      <c r="X119" s="51"/>
      <c r="Y119" s="51"/>
    </row>
    <row r="120" spans="1:25">
      <c r="A120" s="75"/>
      <c r="B120" s="75"/>
      <c r="C120" s="75"/>
      <c r="D120" s="75"/>
      <c r="E120" s="75"/>
      <c r="F120" s="75"/>
      <c r="G120" s="75"/>
      <c r="H120" s="75"/>
      <c r="I120" s="75"/>
      <c r="J120" s="75"/>
      <c r="K120" s="75"/>
      <c r="L120" s="75"/>
      <c r="M120" s="75"/>
      <c r="N120" s="75"/>
      <c r="O120" s="76"/>
      <c r="P120" s="75"/>
      <c r="Q120" s="77"/>
      <c r="R120" s="75"/>
      <c r="S120" s="76"/>
      <c r="T120" s="75"/>
      <c r="U120" s="75"/>
      <c r="V120" s="51"/>
      <c r="W120" s="51"/>
      <c r="X120" s="51"/>
      <c r="Y120" s="51"/>
    </row>
    <row r="121" spans="1:25">
      <c r="A121" s="51"/>
      <c r="B121" s="51"/>
      <c r="C121" s="51"/>
      <c r="D121" s="51"/>
      <c r="E121" s="51"/>
      <c r="F121" s="51"/>
      <c r="G121" s="51"/>
      <c r="H121" s="51"/>
      <c r="I121" s="51"/>
      <c r="J121" s="51"/>
      <c r="K121" s="51"/>
      <c r="L121" s="51"/>
      <c r="M121" s="51"/>
      <c r="N121" s="51"/>
      <c r="O121" s="69"/>
      <c r="P121" s="51"/>
      <c r="Q121" s="70"/>
      <c r="R121" s="51"/>
      <c r="S121" s="69"/>
      <c r="T121" s="51"/>
      <c r="U121" s="51"/>
      <c r="V121" s="51"/>
      <c r="W121" s="51"/>
      <c r="X121" s="51"/>
      <c r="Y121" s="51"/>
    </row>
    <row r="122" spans="1:25">
      <c r="A122" s="51"/>
      <c r="B122" s="51"/>
      <c r="C122" s="51"/>
      <c r="D122" s="51"/>
      <c r="E122" s="51"/>
      <c r="F122" s="51"/>
      <c r="G122" s="51"/>
      <c r="H122" s="51"/>
      <c r="I122" s="51"/>
      <c r="J122" s="51"/>
      <c r="K122" s="51"/>
      <c r="L122" s="51"/>
      <c r="M122" s="51"/>
      <c r="N122" s="51"/>
      <c r="O122" s="69"/>
      <c r="P122" s="51"/>
      <c r="Q122" s="70"/>
      <c r="R122" s="51"/>
      <c r="S122" s="69"/>
      <c r="T122" s="51"/>
      <c r="U122" s="51"/>
      <c r="V122" s="51"/>
      <c r="W122" s="51"/>
      <c r="X122" s="51"/>
      <c r="Y122" s="51"/>
    </row>
    <row r="123" spans="1:25">
      <c r="A123" s="51"/>
      <c r="B123" s="51"/>
      <c r="C123" s="51"/>
      <c r="D123" s="51"/>
      <c r="E123" s="51"/>
      <c r="F123" s="51"/>
      <c r="G123" s="51"/>
      <c r="H123" s="51"/>
      <c r="I123" s="51"/>
      <c r="J123" s="51"/>
      <c r="K123" s="51"/>
      <c r="L123" s="51"/>
      <c r="M123" s="51"/>
      <c r="N123" s="51"/>
      <c r="O123" s="69"/>
      <c r="P123" s="51"/>
      <c r="Q123" s="70"/>
      <c r="R123" s="51"/>
      <c r="S123" s="69"/>
      <c r="T123" s="51"/>
      <c r="U123" s="51"/>
      <c r="V123" s="51"/>
      <c r="W123" s="51"/>
      <c r="X123" s="51"/>
      <c r="Y123" s="51"/>
    </row>
    <row r="124" spans="1:25">
      <c r="A124" s="51"/>
      <c r="B124" s="51"/>
      <c r="C124" s="51"/>
      <c r="D124" s="51"/>
      <c r="E124" s="51"/>
      <c r="F124" s="51"/>
      <c r="G124" s="51"/>
      <c r="H124" s="51"/>
      <c r="I124" s="51"/>
      <c r="J124" s="51"/>
      <c r="K124" s="51"/>
      <c r="L124" s="51"/>
      <c r="M124" s="51"/>
      <c r="N124" s="51"/>
      <c r="O124" s="69"/>
      <c r="P124" s="51"/>
      <c r="Q124" s="70"/>
      <c r="R124" s="51"/>
      <c r="S124" s="69"/>
      <c r="T124" s="51"/>
      <c r="U124" s="51"/>
      <c r="V124" s="51"/>
      <c r="W124" s="51"/>
      <c r="X124" s="51"/>
      <c r="Y124" s="51"/>
    </row>
    <row r="125" spans="1:25">
      <c r="A125" s="51"/>
      <c r="B125" s="51"/>
      <c r="C125" s="51"/>
      <c r="D125" s="51"/>
      <c r="E125" s="51"/>
      <c r="F125" s="51"/>
      <c r="G125" s="51"/>
      <c r="H125" s="51"/>
      <c r="I125" s="51"/>
      <c r="J125" s="51"/>
      <c r="K125" s="51"/>
      <c r="L125" s="51"/>
      <c r="M125" s="51"/>
      <c r="N125" s="51"/>
      <c r="O125" s="69"/>
      <c r="P125" s="51"/>
      <c r="Q125" s="70"/>
      <c r="R125" s="51"/>
      <c r="S125" s="69"/>
      <c r="T125" s="51"/>
      <c r="U125" s="51"/>
      <c r="V125" s="51"/>
      <c r="W125" s="51"/>
      <c r="X125" s="51"/>
      <c r="Y125" s="51"/>
    </row>
    <row r="126" spans="1:25">
      <c r="A126" s="51"/>
      <c r="B126" s="51"/>
      <c r="C126" s="51"/>
      <c r="D126" s="51"/>
      <c r="E126" s="51"/>
      <c r="F126" s="51"/>
      <c r="G126" s="51"/>
      <c r="H126" s="51"/>
      <c r="I126" s="51"/>
      <c r="J126" s="51"/>
      <c r="K126" s="51"/>
      <c r="L126" s="51"/>
      <c r="M126" s="51"/>
      <c r="N126" s="51"/>
      <c r="O126" s="69"/>
      <c r="P126" s="51"/>
      <c r="Q126" s="70"/>
      <c r="R126" s="51"/>
      <c r="S126" s="69"/>
      <c r="T126" s="51"/>
      <c r="U126" s="51"/>
      <c r="V126" s="51"/>
      <c r="W126" s="51"/>
      <c r="X126" s="51"/>
      <c r="Y126" s="51"/>
    </row>
    <row r="127" spans="1:25">
      <c r="A127" s="51"/>
      <c r="B127" s="51"/>
      <c r="C127" s="51"/>
      <c r="D127" s="51"/>
      <c r="E127" s="51"/>
      <c r="F127" s="51"/>
      <c r="G127" s="51"/>
      <c r="H127" s="51"/>
      <c r="I127" s="51"/>
      <c r="J127" s="51"/>
      <c r="K127" s="51"/>
      <c r="L127" s="51"/>
      <c r="M127" s="51"/>
      <c r="N127" s="51"/>
      <c r="O127" s="69"/>
      <c r="P127" s="51"/>
      <c r="Q127" s="70"/>
      <c r="R127" s="51"/>
      <c r="S127" s="69"/>
      <c r="T127" s="51"/>
      <c r="U127" s="51"/>
      <c r="V127" s="51"/>
      <c r="W127" s="51"/>
      <c r="X127" s="51"/>
      <c r="Y127" s="51"/>
    </row>
    <row r="128" spans="1:25">
      <c r="A128" s="51"/>
      <c r="B128" s="51"/>
      <c r="C128" s="51"/>
      <c r="D128" s="51"/>
      <c r="E128" s="51"/>
      <c r="F128" s="51"/>
      <c r="G128" s="51"/>
      <c r="H128" s="51"/>
      <c r="I128" s="51"/>
      <c r="J128" s="51"/>
      <c r="K128" s="51"/>
      <c r="L128" s="51"/>
      <c r="M128" s="51"/>
      <c r="N128" s="51"/>
      <c r="O128" s="69"/>
      <c r="P128" s="51"/>
      <c r="Q128" s="70"/>
      <c r="R128" s="51"/>
      <c r="S128" s="69"/>
      <c r="T128" s="51"/>
      <c r="U128" s="51"/>
      <c r="V128" s="51"/>
      <c r="W128" s="51"/>
      <c r="X128" s="51"/>
      <c r="Y128" s="51"/>
    </row>
    <row r="129" spans="1:25">
      <c r="A129" s="51"/>
      <c r="B129" s="51"/>
      <c r="C129" s="51"/>
      <c r="D129" s="51"/>
      <c r="E129" s="51"/>
      <c r="F129" s="51"/>
      <c r="G129" s="51"/>
      <c r="H129" s="51"/>
      <c r="I129" s="51"/>
      <c r="J129" s="51"/>
      <c r="K129" s="51"/>
      <c r="L129" s="51"/>
      <c r="M129" s="51"/>
      <c r="N129" s="51"/>
      <c r="O129" s="69"/>
      <c r="P129" s="51"/>
      <c r="Q129" s="70"/>
      <c r="R129" s="51"/>
      <c r="S129" s="69"/>
      <c r="T129" s="51"/>
      <c r="U129" s="51"/>
      <c r="V129" s="51"/>
      <c r="W129" s="51"/>
      <c r="X129" s="51"/>
      <c r="Y129" s="51"/>
    </row>
    <row r="130" spans="1:25">
      <c r="A130" s="51"/>
      <c r="B130" s="51"/>
      <c r="C130" s="51"/>
      <c r="D130" s="51"/>
      <c r="E130" s="51"/>
      <c r="F130" s="51"/>
      <c r="G130" s="51"/>
      <c r="H130" s="51"/>
      <c r="I130" s="51"/>
      <c r="J130" s="51"/>
      <c r="K130" s="51"/>
      <c r="L130" s="51"/>
      <c r="M130" s="51"/>
      <c r="N130" s="51"/>
      <c r="O130" s="69"/>
      <c r="P130" s="51"/>
      <c r="Q130" s="70"/>
      <c r="R130" s="51"/>
      <c r="S130" s="69"/>
      <c r="T130" s="51"/>
      <c r="U130" s="51"/>
      <c r="V130" s="51"/>
      <c r="W130" s="51"/>
      <c r="X130" s="51"/>
      <c r="Y130" s="51"/>
    </row>
    <row r="131" spans="1:25">
      <c r="A131" s="51"/>
      <c r="B131" s="51"/>
      <c r="C131" s="51"/>
      <c r="D131" s="51"/>
      <c r="E131" s="51"/>
      <c r="F131" s="51"/>
      <c r="G131" s="51"/>
      <c r="H131" s="51"/>
      <c r="I131" s="51"/>
      <c r="J131" s="51"/>
      <c r="K131" s="51"/>
      <c r="L131" s="51"/>
      <c r="M131" s="51"/>
      <c r="N131" s="51"/>
      <c r="O131" s="69"/>
      <c r="P131" s="51"/>
      <c r="Q131" s="70"/>
      <c r="R131" s="51"/>
      <c r="S131" s="69"/>
      <c r="T131" s="51"/>
      <c r="U131" s="51"/>
      <c r="V131" s="51"/>
      <c r="W131" s="51"/>
      <c r="X131" s="51"/>
      <c r="Y131" s="51"/>
    </row>
    <row r="132" spans="1:25">
      <c r="A132" s="51"/>
      <c r="B132" s="51"/>
      <c r="C132" s="51"/>
      <c r="D132" s="51"/>
      <c r="E132" s="51"/>
      <c r="F132" s="51"/>
      <c r="G132" s="51"/>
      <c r="H132" s="51"/>
      <c r="I132" s="51"/>
      <c r="J132" s="51"/>
      <c r="K132" s="51"/>
      <c r="L132" s="51"/>
      <c r="M132" s="51"/>
      <c r="N132" s="51"/>
      <c r="O132" s="69"/>
      <c r="P132" s="51"/>
      <c r="Q132" s="70"/>
      <c r="R132" s="51"/>
      <c r="S132" s="69"/>
      <c r="T132" s="51"/>
      <c r="U132" s="51"/>
      <c r="V132" s="51"/>
      <c r="W132" s="51"/>
      <c r="X132" s="51"/>
      <c r="Y132" s="51"/>
    </row>
    <row r="133" spans="1:25">
      <c r="A133" s="51"/>
      <c r="B133" s="51"/>
      <c r="C133" s="51"/>
      <c r="D133" s="51"/>
      <c r="E133" s="51"/>
      <c r="F133" s="51"/>
      <c r="G133" s="51"/>
      <c r="H133" s="51"/>
      <c r="I133" s="51"/>
      <c r="J133" s="51"/>
      <c r="K133" s="51"/>
      <c r="L133" s="51"/>
      <c r="M133" s="51"/>
      <c r="N133" s="51"/>
      <c r="O133" s="69"/>
      <c r="P133" s="51"/>
      <c r="Q133" s="70"/>
      <c r="R133" s="51"/>
      <c r="S133" s="69"/>
      <c r="T133" s="51"/>
      <c r="U133" s="51"/>
      <c r="V133" s="51"/>
      <c r="W133" s="51"/>
      <c r="X133" s="51"/>
      <c r="Y133" s="51"/>
    </row>
    <row r="134" spans="1:25">
      <c r="A134" s="51"/>
      <c r="B134" s="51"/>
      <c r="C134" s="51"/>
      <c r="D134" s="51"/>
      <c r="E134" s="51"/>
      <c r="F134" s="51"/>
      <c r="G134" s="51"/>
      <c r="H134" s="51"/>
      <c r="I134" s="51"/>
      <c r="J134" s="51"/>
      <c r="K134" s="51"/>
      <c r="L134" s="51"/>
      <c r="M134" s="51"/>
      <c r="N134" s="51"/>
      <c r="O134" s="69"/>
      <c r="P134" s="51"/>
      <c r="Q134" s="70"/>
      <c r="R134" s="51"/>
      <c r="S134" s="69"/>
      <c r="T134" s="51"/>
      <c r="U134" s="51"/>
      <c r="V134" s="51"/>
      <c r="W134" s="51"/>
      <c r="X134" s="51"/>
      <c r="Y134" s="51"/>
    </row>
    <row r="135" spans="1:25">
      <c r="A135" s="51"/>
      <c r="B135" s="51"/>
      <c r="C135" s="51"/>
      <c r="D135" s="51"/>
      <c r="E135" s="51"/>
      <c r="F135" s="51"/>
      <c r="G135" s="51"/>
      <c r="H135" s="51"/>
      <c r="I135" s="51"/>
      <c r="J135" s="51"/>
      <c r="K135" s="51"/>
      <c r="L135" s="51"/>
      <c r="M135" s="51"/>
      <c r="N135" s="51"/>
      <c r="O135" s="69"/>
      <c r="P135" s="51"/>
      <c r="Q135" s="70"/>
      <c r="R135" s="51"/>
      <c r="S135" s="69"/>
      <c r="T135" s="51"/>
      <c r="U135" s="51"/>
      <c r="V135" s="51"/>
      <c r="W135" s="51"/>
      <c r="X135" s="51"/>
      <c r="Y135" s="51"/>
    </row>
    <row r="136" spans="1:25">
      <c r="A136" s="51"/>
      <c r="B136" s="51"/>
      <c r="C136" s="51"/>
      <c r="D136" s="51"/>
      <c r="E136" s="51"/>
      <c r="F136" s="51"/>
      <c r="G136" s="51"/>
      <c r="H136" s="51"/>
      <c r="I136" s="51"/>
      <c r="J136" s="51"/>
      <c r="K136" s="51"/>
      <c r="L136" s="51"/>
      <c r="M136" s="51"/>
      <c r="N136" s="51"/>
      <c r="O136" s="69"/>
      <c r="P136" s="51"/>
      <c r="Q136" s="70"/>
      <c r="R136" s="51"/>
      <c r="S136" s="69"/>
      <c r="T136" s="51"/>
      <c r="U136" s="51"/>
      <c r="V136" s="51"/>
      <c r="W136" s="51"/>
      <c r="X136" s="51"/>
      <c r="Y136" s="51"/>
    </row>
    <row r="137" spans="1:25">
      <c r="A137" s="51"/>
      <c r="B137" s="51"/>
      <c r="C137" s="51"/>
      <c r="D137" s="51"/>
      <c r="E137" s="51"/>
      <c r="F137" s="51"/>
      <c r="G137" s="51"/>
      <c r="H137" s="51"/>
      <c r="I137" s="51"/>
      <c r="J137" s="51"/>
      <c r="K137" s="51"/>
      <c r="L137" s="51"/>
      <c r="M137" s="51"/>
      <c r="N137" s="51"/>
      <c r="O137" s="69"/>
      <c r="P137" s="51"/>
      <c r="Q137" s="70"/>
      <c r="R137" s="51"/>
      <c r="S137" s="69"/>
      <c r="T137" s="51"/>
      <c r="U137" s="51"/>
      <c r="V137" s="51"/>
      <c r="W137" s="51"/>
      <c r="X137" s="51"/>
      <c r="Y137" s="51"/>
    </row>
    <row r="138" spans="1:25">
      <c r="A138" s="51"/>
      <c r="B138" s="51"/>
      <c r="C138" s="51"/>
      <c r="D138" s="51"/>
      <c r="E138" s="51"/>
      <c r="F138" s="51"/>
      <c r="G138" s="51"/>
      <c r="H138" s="51"/>
      <c r="I138" s="51"/>
      <c r="J138" s="51"/>
      <c r="K138" s="51"/>
      <c r="L138" s="51"/>
      <c r="M138" s="51"/>
      <c r="N138" s="51"/>
      <c r="O138" s="69"/>
      <c r="P138" s="51"/>
      <c r="Q138" s="70"/>
      <c r="R138" s="51"/>
      <c r="S138" s="69"/>
      <c r="T138" s="51"/>
      <c r="U138" s="51"/>
      <c r="V138" s="51"/>
      <c r="W138" s="51"/>
      <c r="X138" s="51"/>
      <c r="Y138" s="51"/>
    </row>
    <row r="139" spans="1:25">
      <c r="A139" s="51"/>
      <c r="B139" s="51"/>
      <c r="C139" s="51"/>
      <c r="D139" s="51"/>
      <c r="E139" s="51"/>
      <c r="F139" s="51"/>
      <c r="G139" s="51"/>
      <c r="H139" s="51"/>
      <c r="I139" s="51"/>
      <c r="J139" s="51"/>
      <c r="K139" s="51"/>
      <c r="L139" s="51"/>
      <c r="M139" s="51"/>
      <c r="N139" s="51"/>
      <c r="O139" s="69"/>
      <c r="P139" s="51"/>
      <c r="Q139" s="70"/>
      <c r="R139" s="51"/>
      <c r="S139" s="69"/>
      <c r="T139" s="51"/>
      <c r="U139" s="51"/>
      <c r="V139" s="51"/>
      <c r="W139" s="51"/>
      <c r="X139" s="51"/>
      <c r="Y139" s="51"/>
    </row>
    <row r="140" spans="1:25">
      <c r="A140" s="51"/>
      <c r="B140" s="51"/>
      <c r="C140" s="51"/>
      <c r="D140" s="51"/>
      <c r="E140" s="51"/>
      <c r="F140" s="51"/>
      <c r="G140" s="51"/>
      <c r="H140" s="51"/>
      <c r="I140" s="51"/>
      <c r="J140" s="51"/>
      <c r="K140" s="51"/>
      <c r="L140" s="51"/>
      <c r="M140" s="51"/>
      <c r="N140" s="51"/>
      <c r="O140" s="69"/>
      <c r="P140" s="51"/>
      <c r="Q140" s="70"/>
      <c r="R140" s="51"/>
      <c r="S140" s="69"/>
      <c r="T140" s="51"/>
      <c r="U140" s="51"/>
      <c r="V140" s="51"/>
      <c r="W140" s="51"/>
      <c r="X140" s="51"/>
      <c r="Y140" s="51"/>
    </row>
    <row r="141" spans="1:25">
      <c r="A141" s="51"/>
      <c r="B141" s="51"/>
      <c r="C141" s="51"/>
      <c r="D141" s="51"/>
      <c r="E141" s="51"/>
      <c r="F141" s="51"/>
      <c r="G141" s="51"/>
      <c r="H141" s="51"/>
      <c r="I141" s="51"/>
      <c r="J141" s="51"/>
      <c r="K141" s="51"/>
      <c r="L141" s="51"/>
      <c r="M141" s="51"/>
      <c r="N141" s="51"/>
      <c r="O141" s="69"/>
      <c r="P141" s="51"/>
      <c r="Q141" s="70"/>
      <c r="R141" s="51"/>
      <c r="S141" s="69"/>
      <c r="T141" s="51"/>
      <c r="U141" s="51"/>
      <c r="V141" s="51"/>
      <c r="W141" s="51"/>
      <c r="X141" s="51"/>
      <c r="Y141" s="51"/>
    </row>
    <row r="142" spans="1:25">
      <c r="A142" s="51"/>
      <c r="B142" s="51"/>
      <c r="C142" s="51"/>
      <c r="D142" s="51"/>
      <c r="E142" s="51"/>
      <c r="F142" s="51"/>
      <c r="G142" s="51"/>
      <c r="H142" s="51"/>
      <c r="I142" s="51"/>
      <c r="J142" s="51"/>
      <c r="K142" s="51"/>
      <c r="L142" s="51"/>
      <c r="M142" s="51"/>
      <c r="N142" s="51"/>
      <c r="O142" s="69"/>
      <c r="P142" s="51"/>
      <c r="Q142" s="70"/>
      <c r="R142" s="51"/>
      <c r="S142" s="69"/>
      <c r="T142" s="51"/>
      <c r="U142" s="51"/>
      <c r="V142" s="51"/>
      <c r="W142" s="51"/>
      <c r="X142" s="51"/>
      <c r="Y142" s="51"/>
    </row>
    <row r="143" spans="1:25">
      <c r="A143" s="51"/>
      <c r="B143" s="51"/>
      <c r="C143" s="51"/>
      <c r="D143" s="51"/>
      <c r="E143" s="51"/>
      <c r="F143" s="51"/>
      <c r="G143" s="51"/>
      <c r="H143" s="51"/>
      <c r="I143" s="51"/>
      <c r="J143" s="51"/>
      <c r="K143" s="51"/>
      <c r="L143" s="51"/>
      <c r="M143" s="51"/>
      <c r="N143" s="51"/>
      <c r="O143" s="69"/>
      <c r="P143" s="51"/>
      <c r="Q143" s="70"/>
      <c r="R143" s="51"/>
      <c r="S143" s="69"/>
      <c r="T143" s="51"/>
      <c r="U143" s="51"/>
      <c r="V143" s="51"/>
      <c r="W143" s="51"/>
      <c r="X143" s="51"/>
      <c r="Y143" s="51"/>
    </row>
    <row r="144" spans="1:25">
      <c r="A144" s="51"/>
      <c r="B144" s="51"/>
      <c r="C144" s="51"/>
      <c r="D144" s="51"/>
      <c r="E144" s="51"/>
      <c r="F144" s="51"/>
      <c r="G144" s="51"/>
      <c r="H144" s="51"/>
      <c r="I144" s="51"/>
      <c r="J144" s="51"/>
      <c r="K144" s="51"/>
      <c r="L144" s="51"/>
      <c r="M144" s="51"/>
      <c r="N144" s="51"/>
      <c r="O144" s="69"/>
      <c r="P144" s="51"/>
      <c r="Q144" s="70"/>
      <c r="R144" s="51"/>
      <c r="S144" s="69"/>
      <c r="T144" s="51"/>
      <c r="U144" s="51"/>
      <c r="V144" s="51"/>
      <c r="W144" s="51"/>
      <c r="X144" s="51"/>
      <c r="Y144" s="51"/>
    </row>
    <row r="145" spans="1:25">
      <c r="A145" s="51"/>
      <c r="B145" s="51"/>
      <c r="C145" s="51"/>
      <c r="D145" s="51"/>
      <c r="E145" s="51"/>
      <c r="F145" s="51"/>
      <c r="G145" s="51"/>
      <c r="H145" s="51"/>
      <c r="I145" s="51"/>
      <c r="J145" s="51"/>
      <c r="K145" s="51"/>
      <c r="L145" s="51"/>
      <c r="M145" s="51"/>
      <c r="N145" s="51"/>
      <c r="O145" s="69"/>
      <c r="P145" s="51"/>
      <c r="Q145" s="70"/>
      <c r="R145" s="51"/>
      <c r="S145" s="69"/>
      <c r="T145" s="51"/>
      <c r="U145" s="51"/>
      <c r="V145" s="51"/>
      <c r="W145" s="51"/>
      <c r="X145" s="51"/>
      <c r="Y145" s="51"/>
    </row>
    <row r="146" spans="1:25">
      <c r="A146" s="51"/>
      <c r="B146" s="51"/>
      <c r="C146" s="51"/>
      <c r="D146" s="51"/>
      <c r="E146" s="51"/>
      <c r="F146" s="51"/>
      <c r="G146" s="51"/>
      <c r="H146" s="51"/>
      <c r="I146" s="51"/>
      <c r="J146" s="51"/>
      <c r="K146" s="51"/>
      <c r="L146" s="51"/>
      <c r="M146" s="51"/>
      <c r="N146" s="51"/>
      <c r="O146" s="69"/>
      <c r="P146" s="51"/>
      <c r="Q146" s="70"/>
      <c r="R146" s="51"/>
      <c r="S146" s="69"/>
      <c r="T146" s="51"/>
      <c r="U146" s="51"/>
      <c r="V146" s="51"/>
      <c r="W146" s="51"/>
      <c r="X146" s="51"/>
      <c r="Y146" s="51"/>
    </row>
    <row r="147" spans="1:25">
      <c r="A147" s="51"/>
      <c r="B147" s="51"/>
      <c r="C147" s="51"/>
      <c r="D147" s="51"/>
      <c r="E147" s="51"/>
      <c r="F147" s="51"/>
      <c r="G147" s="51"/>
      <c r="H147" s="51"/>
      <c r="I147" s="51"/>
      <c r="J147" s="51"/>
      <c r="K147" s="51"/>
      <c r="L147" s="51"/>
      <c r="M147" s="51"/>
      <c r="N147" s="51"/>
      <c r="O147" s="69"/>
      <c r="P147" s="51"/>
      <c r="Q147" s="70"/>
      <c r="R147" s="51"/>
      <c r="S147" s="69"/>
      <c r="T147" s="51"/>
      <c r="U147" s="51"/>
      <c r="V147" s="51"/>
      <c r="W147" s="51"/>
      <c r="X147" s="51"/>
      <c r="Y147" s="51"/>
    </row>
    <row r="148" spans="1:25">
      <c r="A148" s="51"/>
      <c r="B148" s="51"/>
      <c r="C148" s="51"/>
      <c r="D148" s="51"/>
      <c r="E148" s="51"/>
      <c r="F148" s="51"/>
      <c r="G148" s="51"/>
      <c r="H148" s="51"/>
      <c r="I148" s="51"/>
      <c r="J148" s="51"/>
      <c r="K148" s="51"/>
      <c r="L148" s="51"/>
      <c r="M148" s="51"/>
      <c r="N148" s="51"/>
      <c r="O148" s="69"/>
      <c r="P148" s="51"/>
      <c r="Q148" s="70"/>
      <c r="R148" s="51"/>
      <c r="S148" s="69"/>
      <c r="T148" s="51"/>
      <c r="U148" s="51"/>
      <c r="V148" s="51"/>
      <c r="W148" s="51"/>
      <c r="X148" s="51"/>
      <c r="Y148" s="51"/>
    </row>
    <row r="149" spans="1:25">
      <c r="A149" s="51"/>
      <c r="B149" s="51"/>
      <c r="C149" s="51"/>
      <c r="D149" s="51"/>
      <c r="E149" s="51"/>
      <c r="F149" s="51"/>
      <c r="G149" s="51"/>
      <c r="H149" s="51"/>
      <c r="I149" s="51"/>
      <c r="J149" s="51"/>
      <c r="K149" s="51"/>
      <c r="L149" s="51"/>
      <c r="M149" s="51"/>
      <c r="N149" s="51"/>
      <c r="O149" s="69"/>
      <c r="P149" s="51"/>
      <c r="Q149" s="70"/>
      <c r="R149" s="51"/>
      <c r="S149" s="69"/>
      <c r="T149" s="51"/>
      <c r="U149" s="51"/>
      <c r="V149" s="51"/>
      <c r="W149" s="51"/>
      <c r="X149" s="51"/>
      <c r="Y149" s="51"/>
    </row>
  </sheetData>
  <sheetProtection password="F2F3" sheet="1" objects="1" scenarios="1" selectLockedCells="1"/>
  <protectedRanges>
    <protectedRange sqref="L63 S42:S62" name="Range1" securityDescriptor="O:WDG:WDD:(A;;CC;;;S-1-5-21-2052111302-616249376-1417001333-1150)(A;;CC;;;S-1-5-21-2052111302-616249376-1417001333-1151)(A;;CC;;;S-1-5-21-2052111302-616249376-1417001333-1140)(A;;CC;;;S-1-5-21-2052111302-616249376-1417001333-1117)(A;;CC;;;S-1-5-21-2052111302-616249376-1417001333-500)(A;;CC;;;AN)(A;;CC;;;S-1-5-21-2052111302-616249376-1417001333-1138)(A;;CC;;;S-1-5-21-2052111302-616249376-1417001333-1159)(A;;CC;;;AU)(A;;CC;;;S-1-5-3)(A;;CC;;;S-1-5-21-2052111302-616249376-1417001333-1132)(A;;CC;;;S-1-5-21-2052111302-616249376-1417001333-1195)(A;;CC;;;S-1-5-21-2052111302-616249376-1417001333-1127)(A;;CC;;;S-1-5-21-2052111302-616249376-1417001333-1163)(A;;CC;;;S-1-5-21-2052111302-616249376-1417001333-517)(A;;CC;;;S-1-5-21-2052111302-616249376-1417001333-1129)(A;;CC;;;S-1-5-21-2052111302-616249376-1417001333-1192)(A;;CC;;;S-1-5-21-2052111302-616249376-1417001333-1139)(A;;CC;;;S-1-5-21-2052111302-616249376-1417001333-1135)(A;;CC;;;S-1-5-21-2052111302-616249376-1417001333-1120)(A;;CC;;;S-1-5-21-2052111302-616249376-1417001333-1141)(A;;CC;;;S-1-5-21-2052111302-616249376-1417001333-1191)(A;;CC;;;CG)(A;;CC;;;CO)(A;;CC;;;S-1-5-21-2052111302-616249376-1417001333-1116)(A;;CC;;;S-1-5-1)(A;;CC;;;S-1-5-21-2052111302-616249376-1417001333-1105)(A;;CC;;;S-1-5-21-2052111302-616249376-1417001333-512)(A;;CC;;;S-1-5-21-2052111302-616249376-1417001333-515)(A;;CC;;;S-1-5-21-2052111302-616249376-1417001333-516)(A;;CC;;;S-1-5-21-2052111302-616249376-1417001333-514)(A;;CC;;;S-1-5-21-2052111302-616249376-1417001333-513)(A;;CC;;;S-1-5-21-2052111302-616249376-1417001333-1186)(A;;CC;;;S-1-5-21-2052111302-616249376-1417001333-519)(A;;CC;;;ED)(A;;CC;;;WD)(A;;CC;;;S-1-5-21-2052111302-616249376-1417001333-1144)(A;;CC;;;S-1-5-21-2052111302-616249376-1417001333-1147)(A;;CC;;;S-1-5-21-2052111302-616249376-1417001333-1158)(A;;CC;;;S-1-5-21-2052111302-616249376-1417001333-1153)(A;;CC;;;S-1-5-21-2052111302-616249376-1417001333-1167)(A;;CC;;;S-1-5-21-2052111302-616249376-1417001333-1165)(A;;CC;;;S-1-5-21-2052111302-616249376-1417001333-1170)(A;;CC;;;S-1-5-21-2052111302-616249376-1417001333-1161)(A;;CC;;;S-1-5-21-2052111302-616249376-1417001333-1174)(A;;CC;;;S-1-5-21-2052111302-616249376-1417001333-1162)(A;;CC;;;S-1-5-21-2052111302-616249376-1417001333-1179)(A;;CC;;;S-1-5-21-2052111302-616249376-1417001333-1169)(A;;CC;;;S-1-5-21-2052111302-616249376-1417001333-1106)(A;;CC;;;S-1-5-21-2052111302-616249376-1417001333-520)(A;;CC;;;S-1-5-21-2052111302-616249376-1417001333-501)(A;;CC;;;S-1-5-21-2052111302-616249376-1417001333-1185)(A;;CC;;;S-1-5-21-2052111302-616249376-1417001333-1188)(A;;CC;;;IU)(A;;CC;;;S-1-5-21-2052111302-616249376-1417001333-1001)(A;;CC;;;S-1-5-21-2052111302-616249376-1417001333-1002)(A;;CC;;;S-1-5-21-2052111302-616249376-1417001333-1136)(A;;CC;;;S-1-5-21-2052111302-616249376-1417001333-1166)(A;;CC;;;S-1-5-21-2052111302-616249376-1417001333-1113)(A;;CC;;;S-1-5-21-2052111302-616249376-1417001333-1146)(A;;CC;;;S-1-5-21-2052111302-616249376-1417001333-1148)(A;;CC;;;S-1-5-21-2052111302-616249376-1417001333-502)(A;;CC;;;S-1-5-21-2052111302-616249376-1417001333-1193)(A;;CC;;;S-1-5-21-2052111302-616249376-1417001333-1003)(A;;CC;;;S-1-5-21-2052111302-616249376-1417001333-1125)(A;;CC;;;S-1-5-21-2052111302-616249376-1417001333-1111)(A;;CC;;;S-1-5-21-2052111302-616249376-1417001333-1149)(A;;CC;;;S-1-5-21-2052111302-616249376-1417001333-1199)(A;;CC;;;S-1-5-21-2052111302-616249376-1417001333-1177)(A;;CC;;;S-1-5-21-2052111302-616249376-1417001333-1182)(A;;CC;;;S-1-5-21-2052111302-616249376-1417001333-1171)(A;;CC;;;NU)(A;;CC;;;S-1-5-21-2052111302-616249376-1417001333-1173)(A;;CC;;;S-1-5-8)(A;;CC;;;RC)(A;;CC;;;S-1-5-21-2052111302-616249376-1417001333-1126)(A;;CC;;;S-1-5-21-2052111302-616249376-1417001333-1172)(A;;CC;;;S-1-5-21-2052111302-616249376-1417001333-1180)(A;;CC;;;S-1-5-21-2052111302-616249376-1417001333-1196)(A;;CC;;;S-1-5-21-2052111302-616249376-1417001333-518)(A;;CC;;;PS)(A;;CC;;;SU)(A;;CC;;;S-1-5-21-2052111302-616249376-1417001333-1128)(A;;CC;;;S-1-5-21-2052111302-616249376-1417001333-1134)(A;;CC;;;S-1-5-21-2052111302-616249376-1417001333-1176)(A;;CC;;;SY)(A;;CC;;;S-1-5-21-2052111302-616249376-1417001333-1108)(A;;CC;;;S-1-5-13)(A;;CC;;;S-1-5-21-2052111302-616249376-1417001333-1000)(A;;CC;;;S-1-5-21-2052111302-616249376-1417001333-1156)(A;;CC;;;S-1-5-21-2052111302-616249376-1417001333-1201)(A;;CC;;;S-1-5-21-2052111302-616249376-1417001333-1119)(A;;CC;;;S-1-5-21-2052111302-616249376-1417001333-1178)(A;;CC;;;S-1-5-21-2052111302-616249376-1417001333-1130)(A;;CC;;;S-1-5-21-2052111302-616249376-1417001333-1131)"/>
  </protectedRanges>
  <dataConsolidate/>
  <mergeCells count="235">
    <mergeCell ref="J62:K62"/>
    <mergeCell ref="B40:I40"/>
    <mergeCell ref="B41:I41"/>
    <mergeCell ref="B42:I42"/>
    <mergeCell ref="B43:I43"/>
    <mergeCell ref="B44:I44"/>
    <mergeCell ref="B45:I45"/>
    <mergeCell ref="B46:I46"/>
    <mergeCell ref="B47:I47"/>
    <mergeCell ref="B48:I48"/>
    <mergeCell ref="B49:I49"/>
    <mergeCell ref="B50:I50"/>
    <mergeCell ref="B51:I51"/>
    <mergeCell ref="B52:I52"/>
    <mergeCell ref="B53:I53"/>
    <mergeCell ref="B54:I54"/>
    <mergeCell ref="B55:I55"/>
    <mergeCell ref="J48:K48"/>
    <mergeCell ref="J49:K49"/>
    <mergeCell ref="J50:K50"/>
    <mergeCell ref="J51:K51"/>
    <mergeCell ref="J44:K44"/>
    <mergeCell ref="J45:K45"/>
    <mergeCell ref="J46:K46"/>
    <mergeCell ref="P61:Q61"/>
    <mergeCell ref="J52:K52"/>
    <mergeCell ref="J53:K53"/>
    <mergeCell ref="J54:K54"/>
    <mergeCell ref="J55:K55"/>
    <mergeCell ref="J58:K58"/>
    <mergeCell ref="J56:K56"/>
    <mergeCell ref="J57:K57"/>
    <mergeCell ref="N41:O41"/>
    <mergeCell ref="L41:M41"/>
    <mergeCell ref="L44:M44"/>
    <mergeCell ref="L45:M45"/>
    <mergeCell ref="L46:M46"/>
    <mergeCell ref="L47:M47"/>
    <mergeCell ref="L48:M48"/>
    <mergeCell ref="L49:M49"/>
    <mergeCell ref="L50:M50"/>
    <mergeCell ref="L51:M51"/>
    <mergeCell ref="N51:O51"/>
    <mergeCell ref="J59:K59"/>
    <mergeCell ref="J60:K60"/>
    <mergeCell ref="J61:K61"/>
    <mergeCell ref="J42:K42"/>
    <mergeCell ref="J43:K43"/>
    <mergeCell ref="J47:K47"/>
    <mergeCell ref="J40:K41"/>
    <mergeCell ref="N61:O61"/>
    <mergeCell ref="N44:O44"/>
    <mergeCell ref="N45:O45"/>
    <mergeCell ref="N46:O46"/>
    <mergeCell ref="N47:O47"/>
    <mergeCell ref="N48:O48"/>
    <mergeCell ref="N49:O49"/>
    <mergeCell ref="N50:O50"/>
    <mergeCell ref="N62:O62"/>
    <mergeCell ref="P42:Q42"/>
    <mergeCell ref="L52:M52"/>
    <mergeCell ref="L53:M53"/>
    <mergeCell ref="L54:M54"/>
    <mergeCell ref="L55:M55"/>
    <mergeCell ref="L56:M56"/>
    <mergeCell ref="L57:M57"/>
    <mergeCell ref="L58:M58"/>
    <mergeCell ref="L59:M59"/>
    <mergeCell ref="L60:M60"/>
    <mergeCell ref="L61:M61"/>
    <mergeCell ref="L62:M62"/>
    <mergeCell ref="N52:O52"/>
    <mergeCell ref="N53:O53"/>
    <mergeCell ref="N54:O54"/>
    <mergeCell ref="N55:O55"/>
    <mergeCell ref="N56:O56"/>
    <mergeCell ref="N57:O57"/>
    <mergeCell ref="N58:O58"/>
    <mergeCell ref="N59:O59"/>
    <mergeCell ref="N60:O60"/>
    <mergeCell ref="N42:O42"/>
    <mergeCell ref="N43:O43"/>
    <mergeCell ref="P62:Q62"/>
    <mergeCell ref="P43:Q43"/>
    <mergeCell ref="P44:Q44"/>
    <mergeCell ref="P45:Q45"/>
    <mergeCell ref="P46:Q46"/>
    <mergeCell ref="P29:U29"/>
    <mergeCell ref="P30:U30"/>
    <mergeCell ref="P31:U31"/>
    <mergeCell ref="P52:Q52"/>
    <mergeCell ref="P53:Q53"/>
    <mergeCell ref="P41:Q41"/>
    <mergeCell ref="P47:Q47"/>
    <mergeCell ref="P48:Q48"/>
    <mergeCell ref="P49:Q49"/>
    <mergeCell ref="P50:Q50"/>
    <mergeCell ref="P51:Q51"/>
    <mergeCell ref="L40:Q40"/>
    <mergeCell ref="P54:Q54"/>
    <mergeCell ref="P55:Q55"/>
    <mergeCell ref="P56:Q56"/>
    <mergeCell ref="P57:Q57"/>
    <mergeCell ref="P58:Q58"/>
    <mergeCell ref="P59:Q59"/>
    <mergeCell ref="P60:Q60"/>
    <mergeCell ref="A11:U11"/>
    <mergeCell ref="A10:U10"/>
    <mergeCell ref="P21:U21"/>
    <mergeCell ref="P22:U22"/>
    <mergeCell ref="P24:U24"/>
    <mergeCell ref="P25:U25"/>
    <mergeCell ref="P26:U26"/>
    <mergeCell ref="P27:U27"/>
    <mergeCell ref="P28:U28"/>
    <mergeCell ref="A13:U13"/>
    <mergeCell ref="A26:D26"/>
    <mergeCell ref="A14:U14"/>
    <mergeCell ref="G15:N15"/>
    <mergeCell ref="E24:M24"/>
    <mergeCell ref="E25:M25"/>
    <mergeCell ref="A27:F27"/>
    <mergeCell ref="H27:N28"/>
    <mergeCell ref="A28:F28"/>
    <mergeCell ref="P15:U15"/>
    <mergeCell ref="P16:U16"/>
    <mergeCell ref="P17:U17"/>
    <mergeCell ref="C74:D74"/>
    <mergeCell ref="C75:D75"/>
    <mergeCell ref="A40:A41"/>
    <mergeCell ref="C72:D72"/>
    <mergeCell ref="C73:D73"/>
    <mergeCell ref="C68:D69"/>
    <mergeCell ref="B68:B69"/>
    <mergeCell ref="E68:E69"/>
    <mergeCell ref="F67:I67"/>
    <mergeCell ref="B60:I60"/>
    <mergeCell ref="B57:I57"/>
    <mergeCell ref="B58:I58"/>
    <mergeCell ref="B59:I59"/>
    <mergeCell ref="B61:I61"/>
    <mergeCell ref="B62:I62"/>
    <mergeCell ref="B56:I56"/>
    <mergeCell ref="G74:H74"/>
    <mergeCell ref="C76:D76"/>
    <mergeCell ref="C77:D77"/>
    <mergeCell ref="G76:H76"/>
    <mergeCell ref="K76:L76"/>
    <mergeCell ref="E26:M26"/>
    <mergeCell ref="E29:M29"/>
    <mergeCell ref="E30:M30"/>
    <mergeCell ref="E31:M31"/>
    <mergeCell ref="E32:M32"/>
    <mergeCell ref="E33:M33"/>
    <mergeCell ref="E34:M34"/>
    <mergeCell ref="E35:M35"/>
    <mergeCell ref="B67:E67"/>
    <mergeCell ref="C70:D70"/>
    <mergeCell ref="C71:D71"/>
    <mergeCell ref="J67:M67"/>
    <mergeCell ref="G70:H70"/>
    <mergeCell ref="K70:L70"/>
    <mergeCell ref="G73:H73"/>
    <mergeCell ref="K73:L73"/>
    <mergeCell ref="L65:U66"/>
    <mergeCell ref="N31:N32"/>
    <mergeCell ref="P32:U32"/>
    <mergeCell ref="P33:U33"/>
    <mergeCell ref="O74:P74"/>
    <mergeCell ref="S74:T74"/>
    <mergeCell ref="G75:H75"/>
    <mergeCell ref="K75:L75"/>
    <mergeCell ref="O75:P75"/>
    <mergeCell ref="S75:T75"/>
    <mergeCell ref="O70:P70"/>
    <mergeCell ref="S70:T70"/>
    <mergeCell ref="G71:H71"/>
    <mergeCell ref="K71:L71"/>
    <mergeCell ref="O71:P71"/>
    <mergeCell ref="S71:T71"/>
    <mergeCell ref="G72:H72"/>
    <mergeCell ref="K72:L72"/>
    <mergeCell ref="O72:P72"/>
    <mergeCell ref="S72:T72"/>
    <mergeCell ref="O73:P73"/>
    <mergeCell ref="S73:T73"/>
    <mergeCell ref="K74:L74"/>
    <mergeCell ref="N67:Q67"/>
    <mergeCell ref="R67:U67"/>
    <mergeCell ref="F68:F69"/>
    <mergeCell ref="D16:M16"/>
    <mergeCell ref="D17:M17"/>
    <mergeCell ref="D18:M18"/>
    <mergeCell ref="P23:U23"/>
    <mergeCell ref="G68:H69"/>
    <mergeCell ref="I68:I69"/>
    <mergeCell ref="J68:J69"/>
    <mergeCell ref="K68:L69"/>
    <mergeCell ref="M68:M69"/>
    <mergeCell ref="N68:N69"/>
    <mergeCell ref="O68:P69"/>
    <mergeCell ref="Q68:Q69"/>
    <mergeCell ref="R68:R69"/>
    <mergeCell ref="S68:T69"/>
    <mergeCell ref="U68:U69"/>
    <mergeCell ref="L43:M43"/>
    <mergeCell ref="L42:M42"/>
    <mergeCell ref="A38:H38"/>
    <mergeCell ref="P34:U34"/>
    <mergeCell ref="P35:U35"/>
    <mergeCell ref="L38:U39"/>
    <mergeCell ref="O76:P76"/>
    <mergeCell ref="S76:T76"/>
    <mergeCell ref="G77:H77"/>
    <mergeCell ref="K77:L77"/>
    <mergeCell ref="O77:P77"/>
    <mergeCell ref="S77:T77"/>
    <mergeCell ref="A16:C16"/>
    <mergeCell ref="A17:C17"/>
    <mergeCell ref="A18:C18"/>
    <mergeCell ref="A19:C19"/>
    <mergeCell ref="A20:C20"/>
    <mergeCell ref="A29:B35"/>
    <mergeCell ref="C29:D29"/>
    <mergeCell ref="C30:D30"/>
    <mergeCell ref="C31:D31"/>
    <mergeCell ref="C35:D35"/>
    <mergeCell ref="A24:D24"/>
    <mergeCell ref="A25:D25"/>
    <mergeCell ref="H23:N23"/>
    <mergeCell ref="D19:M19"/>
    <mergeCell ref="D20:M20"/>
    <mergeCell ref="P18:U18"/>
    <mergeCell ref="P19:U19"/>
    <mergeCell ref="P20:U20"/>
  </mergeCells>
  <conditionalFormatting sqref="N16:N20 N33:N35 N26:N31">
    <cfRule type="cellIs" dxfId="26" priority="52" operator="equal">
      <formula>"OK"</formula>
    </cfRule>
    <cfRule type="cellIs" dxfId="25" priority="53" operator="equal">
      <formula>"X"</formula>
    </cfRule>
  </conditionalFormatting>
  <conditionalFormatting sqref="G15:N15">
    <cfRule type="cellIs" dxfId="24" priority="41" operator="equal">
      <formula>"This section is NOT COMPLETE.  Please fill in all fields."</formula>
    </cfRule>
    <cfRule type="cellIs" dxfId="23" priority="42" operator="equal">
      <formula>"SECTION COMPLETE"</formula>
    </cfRule>
  </conditionalFormatting>
  <conditionalFormatting sqref="H23:N23">
    <cfRule type="cellIs" dxfId="22" priority="39" operator="equal">
      <formula>"Section is NOT COMPLETE. Please fill in all fields."</formula>
    </cfRule>
    <cfRule type="cellIs" dxfId="21" priority="40" operator="equal">
      <formula>"SECTION COMPLETE"</formula>
    </cfRule>
  </conditionalFormatting>
  <conditionalFormatting sqref="U42:U62">
    <cfRule type="cellIs" dxfId="20" priority="36" operator="equal">
      <formula>"No entry"</formula>
    </cfRule>
    <cfRule type="cellIs" dxfId="19" priority="37" operator="equal">
      <formula>"Incomplete"</formula>
    </cfRule>
    <cfRule type="cellIs" dxfId="18" priority="38" operator="equal">
      <formula>"OK"</formula>
    </cfRule>
  </conditionalFormatting>
  <conditionalFormatting sqref="L38">
    <cfRule type="cellIs" dxfId="17" priority="30" operator="equal">
      <formula>"SECTION COMPLETE"</formula>
    </cfRule>
    <cfRule type="cellIs" dxfId="16" priority="31" operator="equal">
      <formula>"Section is NOT complete.  Please complete indicated fields."</formula>
    </cfRule>
    <cfRule type="cellIs" dxfId="15" priority="32" operator="equal">
      <formula>"You MUST complete at least one line of this section."</formula>
    </cfRule>
  </conditionalFormatting>
  <conditionalFormatting sqref="L65">
    <cfRule type="containsText" dxfId="14" priority="19" operator="containsText" text="You MUST complete">
      <formula>NOT(ISERROR(SEARCH("You MUST complete",L65)))</formula>
    </cfRule>
    <cfRule type="cellIs" dxfId="13" priority="20" operator="equal">
      <formula>"SECTION COMPLETE"</formula>
    </cfRule>
    <cfRule type="cellIs" dxfId="12" priority="21" operator="equal">
      <formula>"Section is NOT complete.  Please fix the schedule indicated."</formula>
    </cfRule>
    <cfRule type="cellIs" dxfId="11" priority="22" operator="equal">
      <formula>"You MUST complete at least one schedule."</formula>
    </cfRule>
  </conditionalFormatting>
  <conditionalFormatting sqref="B67:U67">
    <cfRule type="containsText" dxfId="10" priority="16" operator="containsText" text="OK">
      <formula>NOT(ISERROR(SEARCH("OK",B67)))</formula>
    </cfRule>
    <cfRule type="containsText" dxfId="9" priority="17" operator="containsText" text="INCOMPLETE">
      <formula>NOT(ISERROR(SEARCH("INCOMPLETE",B67)))</formula>
    </cfRule>
    <cfRule type="containsText" dxfId="8" priority="18" operator="containsText" text="NO ENTRY">
      <formula>NOT(ISERROR(SEARCH("NO ENTRY",B67)))</formula>
    </cfRule>
  </conditionalFormatting>
  <conditionalFormatting sqref="A38:Y126">
    <cfRule type="expression" dxfId="7" priority="7">
      <formula>NOT($O$25)</formula>
    </cfRule>
  </conditionalFormatting>
  <conditionalFormatting sqref="A13">
    <cfRule type="expression" dxfId="6" priority="80">
      <formula>NOT(O16)</formula>
    </cfRule>
    <cfRule type="expression" dxfId="5" priority="81">
      <formula>O16</formula>
    </cfRule>
  </conditionalFormatting>
  <conditionalFormatting sqref="A14:U14">
    <cfRule type="expression" dxfId="4" priority="5">
      <formula>W14</formula>
    </cfRule>
  </conditionalFormatting>
  <conditionalFormatting sqref="N33:N35 N24:N26 N29:N31">
    <cfRule type="cellIs" dxfId="3" priority="3" operator="equal">
      <formula>"OK"</formula>
    </cfRule>
    <cfRule type="cellIs" dxfId="2" priority="4" operator="equal">
      <formula>"X"</formula>
    </cfRule>
  </conditionalFormatting>
  <conditionalFormatting sqref="H23:N23">
    <cfRule type="cellIs" dxfId="1" priority="1" operator="equal">
      <formula>"Section is NOT COMPLETE. Please fill in all fields."</formula>
    </cfRule>
    <cfRule type="cellIs" dxfId="0" priority="2" operator="equal">
      <formula>"SECTION COMPLETE"</formula>
    </cfRule>
  </conditionalFormatting>
  <dataValidations xWindow="285" yWindow="763" count="25">
    <dataValidation type="list" allowBlank="1" showInputMessage="1" showErrorMessage="1" prompt="Only for fixtures with motion sensors. Select &quot;Yes&quot; to make into a motion sensing master.  The fixture will control other fixtures with the same group number - OR if a motion zone is selected it will control fixtures with the same motion zone number." sqref="L63">
      <formula1>IF(R63,$J$2:$J$3,$J$3:$J$3)</formula1>
    </dataValidation>
    <dataValidation type="list" allowBlank="1" showInputMessage="1" showErrorMessage="1" prompt="Only for fixtures with motion sensors. &quot;By Group&quot; is most common option and enables fixture to control others in its group.  Select &quot;By Zone&quot; and provide supplementary info. for more complex control schemes.  &quot;By network&quot; may be useful for smaller jobs." sqref="S42:S62">
      <formula1>IF(X42,$J$1:$J$4,$J$4:$J$4)</formula1>
    </dataValidation>
    <dataValidation allowBlank="1" showInputMessage="1" showErrorMessage="1" prompt="Enter the type number.  This should be the primary means to differentiate fixtures that are programmed differently.  The type number will be printed on the fixture identification label to aid in installation." sqref="J42:J62"/>
    <dataValidation type="list" allowBlank="1" showInputMessage="1" showErrorMessage="1" prompt="Click the arrow at right and select a schedule to run every weekday.   We preselected Schedule 1 for your convenience._x000a__x000a_You can fill out the schedule details in the bottom section." sqref="L42:L62 M43:M62">
      <formula1>$H$2:$H$6</formula1>
    </dataValidation>
    <dataValidation type="list" allowBlank="1" showInputMessage="1" showErrorMessage="1" prompt="Select a group.  Generally, a group of fixtures have the same schedule and may have a common location.  A motion sensing master will control all fixtures in its own group, unless a motion zone is selected.  For your convenience, we set Group 1 as default." sqref="R42:R62">
      <formula1>$A$9:$P$9</formula1>
    </dataValidation>
    <dataValidation type="whole" allowBlank="1" showInputMessage="1" showErrorMessage="1" errorTitle="ERROR" error="You must enter a number between 0 and 250." prompt="This represents the time in minutes the fixture will stay at 100% brightness once the motion sensor is activated.  Enter a number between 1 and 250, or for a non motion sensor fixture you may leave blank to allow the master to determine the delay." sqref="T42:T62">
      <formula1>1</formula1>
      <formula2>250</formula2>
    </dataValidation>
    <dataValidation type="list" allowBlank="1" showInputMessage="1" showErrorMessage="1" prompt="Click the arrow at right and select the schedule number that you want the fixture to execute for Saturday. _x000a__x000a_You can fill out the schedule details in the bottom section." sqref="N42:O62">
      <formula1>$H$1:$H$6</formula1>
    </dataValidation>
    <dataValidation type="list" allowBlank="1" showInputMessage="1" showErrorMessage="1" prompt="Click the arrow at right and select the schedule number that you want the fixture to execute for Sunday. _x000a__x000a_You can fill out the schedule details in the bottom section." sqref="P42:Q62">
      <formula1>$H$1:$H$6</formula1>
    </dataValidation>
    <dataValidation type="list" allowBlank="1" showInputMessage="1" showErrorMessage="1" sqref="N63:T63">
      <formula1>$H$1:$H$6</formula1>
    </dataValidation>
    <dataValidation type="list" allowBlank="1" showInputMessage="1" showErrorMessage="1" prompt="AM, PM, 24 hour - time field represents a definite clock time._x000a__x000a_From Sunrise, From Sunset - Leave time blank, or enter number in_x000a_(+/-)HMM format to retard or advance dimming event._x000a__x000a_Power on at Panel - Event fixed at 1:00 PM.  Leave time field blank._x000a_" sqref="O78:P78 K78:L78 G78:H78 C78:D78 S78:T78">
      <formula1>$A$1:$A$6</formula1>
    </dataValidation>
    <dataValidation type="list" allowBlank="1" showInputMessage="1" showErrorMessage="1" sqref="K63">
      <formula1>$U$1:$U$18</formula1>
    </dataValidation>
    <dataValidation type="whole" allowBlank="1" showInputMessage="1" showErrorMessage="1" errorTitle="ERROR" error="You have entered invalid input.  You must enter a number representing the time in HHMM format." prompt="Enter a time in HHMM format (optional for From Sunrise / From Sunset format)._x000a__x000a_Leave blank for No Entry or Power on at Panel." sqref="B70:B77 R70:R77 N70:N77 J70:J77 F70:F77">
      <formula1>-60</formula1>
      <formula2>2359</formula2>
    </dataValidation>
    <dataValidation type="whole" allowBlank="1" showInputMessage="1" showErrorMessage="1" errorTitle="ERROR" error="You must enter a number between 0 and 100 for desired percent brightness." prompt="Enter a number between 0 and 100 for desired percent brightness." sqref="U70:U77 E70:E77 I70:I77 M70:M77 Q70:Q77">
      <formula1>0</formula1>
      <formula2>100</formula2>
    </dataValidation>
    <dataValidation allowBlank="1" showInputMessage="1" showErrorMessage="1" prompt="Enter the full catalog number based on your quote or the datasheet." sqref="B42:B62"/>
    <dataValidation type="whole" allowBlank="1" showInputMessage="1" showErrorMessage="1" errorTitle="ERROR" error="You must enter a whole number between 1 and 999.  " prompt="Enter quantity of fixtures of this type." sqref="A42:A62">
      <formula1>1</formula1>
      <formula2>999</formula2>
    </dataValidation>
    <dataValidation type="list" allowBlank="1" showInputMessage="1" showErrorMessage="1" prompt="Click the arrow at right and select one of the options.  _x000a__x000a_You may receive the software on a USB flash drive, or pre-loaded on a tablet PC." sqref="E26:M26">
      <formula1>$C$1:$C$3</formula1>
    </dataValidation>
    <dataValidation type="list" allowBlank="1" showInputMessage="1" showErrorMessage="1" prompt="Click the arrow at right and select how you wish to commission your fixture. _x000a__x000a_If you choose to commission from this worksheet, you will need fo fill out the bottom two sections." sqref="E25:M25">
      <formula1>$L$4:$L$7</formula1>
    </dataValidation>
    <dataValidation allowBlank="1" showInputMessage="1" showErrorMessage="1" prompt="ZIP code information is necessary to determine the specific job site location for the fixture's astronomical time calculations." sqref="D20:M20"/>
    <dataValidation allowBlank="1" showInputMessage="1" showErrorMessage="1" prompt="Enter special requests for options not specifically covered on this worksheet.  Options might include schedules for special dates, custom dimming/wattage, lumen depreciation compensation, and advanced motion sensor functionality." sqref="P16:P35"/>
    <dataValidation type="list" allowBlank="1" showInputMessage="1" showErrorMessage="1" prompt="Click the arrow at right and select one of the options. _x000a__x000a_Generally, for a repeat order we do not provide a new USB license, unless you are increasing your number of seats." sqref="E24:M24">
      <formula1>Original_Order</formula1>
    </dataValidation>
    <dataValidation allowBlank="1" showInputMessage="1" showErrorMessage="1" prompt="This section specifies delivery information for the software or tablet - which may not necessarily be the same as the fixture delivery address." sqref="E29:M35"/>
    <dataValidation type="whole" allowBlank="1" showInputMessage="1" showErrorMessage="1" sqref="G27">
      <formula1>0</formula1>
      <formula2>100</formula2>
    </dataValidation>
    <dataValidation type="whole" allowBlank="1" showInputMessage="1" showErrorMessage="1" sqref="G28">
      <formula1>0</formula1>
      <formula2>100</formula2>
    </dataValidation>
    <dataValidation allowBlank="1" showInputMessage="1" showErrorMessage="1" prompt="Please provide basic information to identify the job." sqref="D16:M19"/>
    <dataValidation type="list" allowBlank="1" showInputMessage="1" showErrorMessage="1" prompt="AM, PM, 24 hour - time field represents a definite clock time._x000a__x000a_From Sunrise, From Sunset - Leave time blank, or enter number in (+/-)HMM format to retard or advance dimming event._x000a_" sqref="S70:T77 O70:P77 K70:L77 G70:H77 C70:D77">
      <formula1>$A$1:$A$6</formula1>
    </dataValidation>
  </dataValidations>
  <pageMargins left="0.5" right="0.5" top="0.75" bottom="0.75" header="0.3" footer="0.3"/>
  <pageSetup scale="57" fitToHeight="2" orientation="portrait" r:id="rId1"/>
  <rowBreaks count="1" manualBreakCount="1">
    <brk id="77" max="16383" man="1"/>
  </rowBreaks>
  <drawing r:id="rId2"/>
</worksheet>
</file>

<file path=xl/worksheets/sheet2.xml><?xml version="1.0" encoding="utf-8"?>
<worksheet xmlns="http://schemas.openxmlformats.org/spreadsheetml/2006/main" xmlns:r="http://schemas.openxmlformats.org/officeDocument/2006/relationships">
  <sheetPr codeName="Sheet2"/>
  <dimension ref="A4:L29"/>
  <sheetViews>
    <sheetView workbookViewId="0">
      <selection activeCell="P31" sqref="P31"/>
    </sheetView>
  </sheetViews>
  <sheetFormatPr defaultRowHeight="15"/>
  <sheetData>
    <row r="4" spans="1:12" ht="26.25">
      <c r="A4" s="72" t="s">
        <v>85</v>
      </c>
    </row>
    <row r="7" spans="1:12" ht="26.25">
      <c r="A7" s="72" t="s">
        <v>83</v>
      </c>
      <c r="B7" s="71"/>
    </row>
    <row r="8" spans="1:12">
      <c r="A8" s="173" t="s">
        <v>84</v>
      </c>
      <c r="B8" s="173"/>
      <c r="C8" s="173"/>
      <c r="D8" s="173"/>
      <c r="E8" s="173"/>
      <c r="F8" s="173"/>
      <c r="G8" s="173"/>
      <c r="H8" s="173"/>
      <c r="I8" s="173"/>
      <c r="J8" s="173"/>
      <c r="K8" s="173"/>
      <c r="L8" s="173"/>
    </row>
    <row r="9" spans="1:12">
      <c r="A9" s="173"/>
      <c r="B9" s="173"/>
      <c r="C9" s="173"/>
      <c r="D9" s="173"/>
      <c r="E9" s="173"/>
      <c r="F9" s="173"/>
      <c r="G9" s="173"/>
      <c r="H9" s="173"/>
      <c r="I9" s="173"/>
      <c r="J9" s="173"/>
      <c r="K9" s="173"/>
      <c r="L9" s="173"/>
    </row>
    <row r="10" spans="1:12">
      <c r="A10" s="173"/>
      <c r="B10" s="173"/>
      <c r="C10" s="173"/>
      <c r="D10" s="173"/>
      <c r="E10" s="173"/>
      <c r="F10" s="173"/>
      <c r="G10" s="173"/>
      <c r="H10" s="173"/>
      <c r="I10" s="173"/>
      <c r="J10" s="173"/>
      <c r="K10" s="173"/>
      <c r="L10" s="173"/>
    </row>
    <row r="11" spans="1:12">
      <c r="A11" s="173"/>
      <c r="B11" s="173"/>
      <c r="C11" s="173"/>
      <c r="D11" s="173"/>
      <c r="E11" s="173"/>
      <c r="F11" s="173"/>
      <c r="G11" s="173"/>
      <c r="H11" s="173"/>
      <c r="I11" s="173"/>
      <c r="J11" s="173"/>
      <c r="K11" s="173"/>
      <c r="L11" s="173"/>
    </row>
    <row r="12" spans="1:12">
      <c r="A12" s="173"/>
      <c r="B12" s="173"/>
      <c r="C12" s="173"/>
      <c r="D12" s="173"/>
      <c r="E12" s="173"/>
      <c r="F12" s="173"/>
      <c r="G12" s="173"/>
      <c r="H12" s="173"/>
      <c r="I12" s="173"/>
      <c r="J12" s="173"/>
      <c r="K12" s="173"/>
      <c r="L12" s="173"/>
    </row>
    <row r="13" spans="1:12">
      <c r="A13" s="173"/>
      <c r="B13" s="173"/>
      <c r="C13" s="173"/>
      <c r="D13" s="173"/>
      <c r="E13" s="173"/>
      <c r="F13" s="173"/>
      <c r="G13" s="173"/>
      <c r="H13" s="173"/>
      <c r="I13" s="173"/>
      <c r="J13" s="173"/>
      <c r="K13" s="173"/>
      <c r="L13" s="173"/>
    </row>
    <row r="14" spans="1:12">
      <c r="A14" s="173"/>
      <c r="B14" s="173"/>
      <c r="C14" s="173"/>
      <c r="D14" s="173"/>
      <c r="E14" s="173"/>
      <c r="F14" s="173"/>
      <c r="G14" s="173"/>
      <c r="H14" s="173"/>
      <c r="I14" s="173"/>
      <c r="J14" s="173"/>
      <c r="K14" s="173"/>
      <c r="L14" s="173"/>
    </row>
    <row r="15" spans="1:12">
      <c r="A15" s="173"/>
      <c r="B15" s="173"/>
      <c r="C15" s="173"/>
      <c r="D15" s="173"/>
      <c r="E15" s="173"/>
      <c r="F15" s="173"/>
      <c r="G15" s="173"/>
      <c r="H15" s="173"/>
      <c r="I15" s="173"/>
      <c r="J15" s="173"/>
      <c r="K15" s="173"/>
      <c r="L15" s="173"/>
    </row>
    <row r="16" spans="1:12">
      <c r="A16" s="173"/>
      <c r="B16" s="173"/>
      <c r="C16" s="173"/>
      <c r="D16" s="173"/>
      <c r="E16" s="173"/>
      <c r="F16" s="173"/>
      <c r="G16" s="173"/>
      <c r="H16" s="173"/>
      <c r="I16" s="173"/>
      <c r="J16" s="173"/>
      <c r="K16" s="173"/>
      <c r="L16" s="173"/>
    </row>
    <row r="17" spans="1:12">
      <c r="A17" s="173"/>
      <c r="B17" s="173"/>
      <c r="C17" s="173"/>
      <c r="D17" s="173"/>
      <c r="E17" s="173"/>
      <c r="F17" s="173"/>
      <c r="G17" s="173"/>
      <c r="H17" s="173"/>
      <c r="I17" s="173"/>
      <c r="J17" s="173"/>
      <c r="K17" s="173"/>
      <c r="L17" s="173"/>
    </row>
    <row r="18" spans="1:12">
      <c r="A18" s="173"/>
      <c r="B18" s="173"/>
      <c r="C18" s="173"/>
      <c r="D18" s="173"/>
      <c r="E18" s="173"/>
      <c r="F18" s="173"/>
      <c r="G18" s="173"/>
      <c r="H18" s="173"/>
      <c r="I18" s="173"/>
      <c r="J18" s="173"/>
      <c r="K18" s="173"/>
      <c r="L18" s="173"/>
    </row>
    <row r="19" spans="1:12">
      <c r="A19" s="173" t="s">
        <v>86</v>
      </c>
      <c r="B19" s="173"/>
      <c r="C19" s="173"/>
      <c r="D19" s="173"/>
      <c r="E19" s="173"/>
      <c r="F19" s="173"/>
      <c r="G19" s="173"/>
      <c r="H19" s="173"/>
      <c r="I19" s="173"/>
      <c r="J19" s="173"/>
      <c r="K19" s="173"/>
      <c r="L19" s="173"/>
    </row>
    <row r="20" spans="1:12">
      <c r="A20" s="173"/>
      <c r="B20" s="173"/>
      <c r="C20" s="173"/>
      <c r="D20" s="173"/>
      <c r="E20" s="173"/>
      <c r="F20" s="173"/>
      <c r="G20" s="173"/>
      <c r="H20" s="173"/>
      <c r="I20" s="173"/>
      <c r="J20" s="173"/>
      <c r="K20" s="173"/>
      <c r="L20" s="173"/>
    </row>
    <row r="21" spans="1:12">
      <c r="A21" s="173"/>
      <c r="B21" s="173"/>
      <c r="C21" s="173"/>
      <c r="D21" s="173"/>
      <c r="E21" s="173"/>
      <c r="F21" s="173"/>
      <c r="G21" s="173"/>
      <c r="H21" s="173"/>
      <c r="I21" s="173"/>
      <c r="J21" s="173"/>
      <c r="K21" s="173"/>
      <c r="L21" s="173"/>
    </row>
    <row r="22" spans="1:12">
      <c r="A22" s="173"/>
      <c r="B22" s="173"/>
      <c r="C22" s="173"/>
      <c r="D22" s="173"/>
      <c r="E22" s="173"/>
      <c r="F22" s="173"/>
      <c r="G22" s="173"/>
      <c r="H22" s="173"/>
      <c r="I22" s="173"/>
      <c r="J22" s="173"/>
      <c r="K22" s="173"/>
      <c r="L22" s="173"/>
    </row>
    <row r="23" spans="1:12">
      <c r="A23" s="173"/>
      <c r="B23" s="173"/>
      <c r="C23" s="173"/>
      <c r="D23" s="173"/>
      <c r="E23" s="173"/>
      <c r="F23" s="173"/>
      <c r="G23" s="173"/>
      <c r="H23" s="173"/>
      <c r="I23" s="173"/>
      <c r="J23" s="173"/>
      <c r="K23" s="173"/>
      <c r="L23" s="173"/>
    </row>
    <row r="24" spans="1:12">
      <c r="A24" s="173"/>
      <c r="B24" s="173"/>
      <c r="C24" s="173"/>
      <c r="D24" s="173"/>
      <c r="E24" s="173"/>
      <c r="F24" s="173"/>
      <c r="G24" s="173"/>
      <c r="H24" s="173"/>
      <c r="I24" s="173"/>
      <c r="J24" s="173"/>
      <c r="K24" s="173"/>
      <c r="L24" s="173"/>
    </row>
    <row r="25" spans="1:12">
      <c r="A25" s="173"/>
      <c r="B25" s="173"/>
      <c r="C25" s="173"/>
      <c r="D25" s="173"/>
      <c r="E25" s="173"/>
      <c r="F25" s="173"/>
      <c r="G25" s="173"/>
      <c r="H25" s="173"/>
      <c r="I25" s="173"/>
      <c r="J25" s="173"/>
      <c r="K25" s="173"/>
      <c r="L25" s="173"/>
    </row>
    <row r="26" spans="1:12">
      <c r="A26" s="173"/>
      <c r="B26" s="173"/>
      <c r="C26" s="173"/>
      <c r="D26" s="173"/>
      <c r="E26" s="173"/>
      <c r="F26" s="173"/>
      <c r="G26" s="173"/>
      <c r="H26" s="173"/>
      <c r="I26" s="173"/>
      <c r="J26" s="173"/>
      <c r="K26" s="173"/>
      <c r="L26" s="173"/>
    </row>
    <row r="27" spans="1:12">
      <c r="A27" s="173"/>
      <c r="B27" s="173"/>
      <c r="C27" s="173"/>
      <c r="D27" s="173"/>
      <c r="E27" s="173"/>
      <c r="F27" s="173"/>
      <c r="G27" s="173"/>
      <c r="H27" s="173"/>
      <c r="I27" s="173"/>
      <c r="J27" s="173"/>
      <c r="K27" s="173"/>
      <c r="L27" s="173"/>
    </row>
    <row r="28" spans="1:12">
      <c r="A28" s="173"/>
      <c r="B28" s="173"/>
      <c r="C28" s="173"/>
      <c r="D28" s="173"/>
      <c r="E28" s="173"/>
      <c r="F28" s="173"/>
      <c r="G28" s="173"/>
      <c r="H28" s="173"/>
      <c r="I28" s="173"/>
      <c r="J28" s="173"/>
      <c r="K28" s="173"/>
      <c r="L28" s="173"/>
    </row>
    <row r="29" spans="1:12">
      <c r="A29" s="173"/>
      <c r="B29" s="173"/>
      <c r="C29" s="173"/>
      <c r="D29" s="173"/>
      <c r="E29" s="173"/>
      <c r="F29" s="173"/>
      <c r="G29" s="173"/>
      <c r="H29" s="173"/>
      <c r="I29" s="173"/>
      <c r="J29" s="173"/>
      <c r="K29" s="173"/>
      <c r="L29" s="173"/>
    </row>
  </sheetData>
  <mergeCells count="2">
    <mergeCell ref="A8:L18"/>
    <mergeCell ref="A19:L29"/>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SITESYNC_COMMISSIONING</vt:lpstr>
      <vt:lpstr>Original_Order</vt:lpstr>
      <vt:lpstr>SITESYNC_COMMISSIONING!Print_Area</vt:lpstr>
    </vt:vector>
  </TitlesOfParts>
  <Company>Hubbell</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ajclark</dc:creator>
  <cp:lastModifiedBy>Adam J. Clark</cp:lastModifiedBy>
  <cp:lastPrinted>2017-03-19T19:26:28Z</cp:lastPrinted>
  <dcterms:created xsi:type="dcterms:W3CDTF">2015-05-10T02:40:46Z</dcterms:created>
  <dcterms:modified xsi:type="dcterms:W3CDTF">2017-03-29T03:12:10Z</dcterms:modified>
</cp:coreProperties>
</file>